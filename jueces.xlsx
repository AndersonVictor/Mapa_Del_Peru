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JUDICIAL\Documents\Tukuy Rikuy PI\"/>
    </mc:Choice>
  </mc:AlternateContent>
  <xr:revisionPtr revIDLastSave="0" documentId="13_ncr:1_{5CB20F4B-8255-40F3-A167-675F20268093}" xr6:coauthVersionLast="47" xr6:coauthVersionMax="47" xr10:uidLastSave="{00000000-0000-0000-0000-000000000000}"/>
  <bookViews>
    <workbookView xWindow="28680" yWindow="-120" windowWidth="29040" windowHeight="15720" tabRatio="801" firstSheet="12" activeTab="18" xr2:uid="{00000000-000D-0000-FFFF-FFFF00000000}"/>
  </bookViews>
  <sheets>
    <sheet name="Carga Procesal" sheetId="1" r:id="rId1"/>
    <sheet name="Poblacion_Data" sheetId="2" r:id="rId2"/>
    <sheet name="Poblacion_Pivot" sheetId="3" r:id="rId3"/>
    <sheet name="Resumen_Provincia" sheetId="4" r:id="rId4"/>
    <sheet name="Provincias" sheetId="16" r:id="rId5"/>
    <sheet name="Detalle_Provincia" sheetId="5" r:id="rId6"/>
    <sheet name="Resumen_Tipo" sheetId="6" r:id="rId7"/>
    <sheet name="Data_Plana" sheetId="7" r:id="rId8"/>
    <sheet name="Resumen" sheetId="8" r:id="rId9"/>
    <sheet name="Audiencias_Data" sheetId="9" r:id="rId10"/>
    <sheet name="Audiencias_Pivot" sheetId="10" r:id="rId11"/>
    <sheet name="Alerta_Sobrecarga" sheetId="11" r:id="rId12"/>
    <sheet name="Pob_Proyeccion" sheetId="12" r:id="rId13"/>
    <sheet name="Jueces_Pob_2026" sheetId="13" r:id="rId14"/>
    <sheet name="Personal_Regimen" sheetId="14" r:id="rId15"/>
    <sheet name="Personal_Cargos" sheetId="15" r:id="rId16"/>
    <sheet name="Data_Limpia" sheetId="18" r:id="rId17"/>
    <sheet name="DimDependencia" sheetId="19" r:id="rId18"/>
    <sheet name="DimTerritorio" sheetId="20" r:id="rId19"/>
    <sheet name="Puente_Competencia" sheetId="21" r:id="rId20"/>
  </sheets>
  <definedNames>
    <definedName name="_xlnm._FilterDatabase" localSheetId="9" hidden="1">Audiencias_Data!$A$1:$G$81</definedName>
    <definedName name="_xlnm._FilterDatabase" localSheetId="16" hidden="1">Data_Limpia!$A$1:$K$102</definedName>
    <definedName name="_xlnm._FilterDatabase" localSheetId="17" hidden="1">DimDependencia!$A$1:$L$102</definedName>
    <definedName name="_xlnm._FilterDatabase" localSheetId="18" hidden="1">DimTerritorio!$A$1:$F$47</definedName>
    <definedName name="_xlnm._FilterDatabase" localSheetId="1" hidden="1">Poblacion_Data!$A$2:$I$56</definedName>
    <definedName name="_xlnm._FilterDatabase" localSheetId="19" hidden="1">Puente_Competencia!$A$1:$G$192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" i="4" l="1"/>
  <c r="D11" i="4"/>
  <c r="E11" i="4"/>
  <c r="F11" i="4"/>
  <c r="G11" i="4"/>
  <c r="H11" i="4"/>
  <c r="I11" i="4"/>
  <c r="J11" i="4"/>
  <c r="G70" i="9"/>
  <c r="G58" i="9"/>
  <c r="G42" i="9"/>
  <c r="G33" i="9"/>
  <c r="G57" i="9"/>
  <c r="G7" i="9"/>
  <c r="G67" i="9"/>
  <c r="G64" i="9"/>
  <c r="G37" i="9"/>
  <c r="G68" i="9"/>
  <c r="G39" i="9"/>
  <c r="G61" i="9"/>
  <c r="G53" i="9"/>
  <c r="G44" i="9"/>
  <c r="G36" i="9"/>
  <c r="G56" i="9"/>
  <c r="G74" i="9"/>
  <c r="G66" i="9"/>
  <c r="G52" i="9"/>
  <c r="G63" i="9"/>
  <c r="G6" i="9"/>
  <c r="G10" i="9"/>
  <c r="G5" i="9"/>
  <c r="G21" i="9"/>
  <c r="G12" i="9"/>
  <c r="G28" i="9"/>
  <c r="G71" i="9"/>
  <c r="G50" i="9"/>
  <c r="G16" i="9"/>
  <c r="G25" i="9"/>
  <c r="G9" i="9"/>
  <c r="G22" i="9"/>
  <c r="G14" i="9"/>
  <c r="G35" i="9"/>
  <c r="G45" i="9"/>
  <c r="G31" i="9"/>
  <c r="G49" i="9"/>
  <c r="G4" i="9"/>
  <c r="G11" i="9"/>
  <c r="G17" i="9"/>
  <c r="G8" i="9"/>
  <c r="G19" i="9"/>
  <c r="G32" i="9"/>
  <c r="G3" i="9"/>
  <c r="G30" i="9"/>
  <c r="G24" i="9"/>
  <c r="G23" i="9"/>
  <c r="G15" i="9"/>
  <c r="G13" i="9"/>
  <c r="G65" i="9"/>
  <c r="G26" i="9"/>
  <c r="G18" i="9"/>
  <c r="G2" i="9"/>
  <c r="G60" i="9"/>
  <c r="G55" i="9"/>
  <c r="G20" i="9"/>
  <c r="G34" i="9"/>
  <c r="G48" i="9"/>
  <c r="G46" i="9"/>
  <c r="G72" i="9"/>
  <c r="G62" i="9"/>
  <c r="G54" i="9"/>
  <c r="G51" i="9"/>
  <c r="G27" i="9"/>
  <c r="G41" i="9"/>
  <c r="G40" i="9"/>
  <c r="G43" i="9"/>
  <c r="G29" i="9"/>
  <c r="G47" i="9"/>
  <c r="G73" i="9"/>
  <c r="G59" i="9"/>
  <c r="G38" i="9"/>
  <c r="G69" i="9"/>
  <c r="B11" i="4"/>
</calcChain>
</file>

<file path=xl/sharedStrings.xml><?xml version="1.0" encoding="utf-8"?>
<sst xmlns="http://schemas.openxmlformats.org/spreadsheetml/2006/main" count="6279" uniqueCount="749">
  <si>
    <t>MAGISTRADOS POR PROVINCIA — RESUMEN</t>
  </si>
  <si>
    <t>PROVINCIA</t>
  </si>
  <si>
    <t>TOTAL</t>
  </si>
  <si>
    <t>J. ESP</t>
  </si>
  <si>
    <t>JPL</t>
  </si>
  <si>
    <t>SALA</t>
  </si>
  <si>
    <t>VARONES</t>
  </si>
  <si>
    <t>MUJERES</t>
  </si>
  <si>
    <t>TITULARES</t>
  </si>
  <si>
    <t>Huancayo</t>
  </si>
  <si>
    <t>Tarma</t>
  </si>
  <si>
    <t>Jauja</t>
  </si>
  <si>
    <t>Tayacaja</t>
  </si>
  <si>
    <t>Chupaca</t>
  </si>
  <si>
    <t>Concepción</t>
  </si>
  <si>
    <t>Yauli</t>
  </si>
  <si>
    <t>Junín</t>
  </si>
  <si>
    <t>TOTAL CSJJ</t>
  </si>
  <si>
    <t>Año</t>
  </si>
  <si>
    <t>Especialidad</t>
  </si>
  <si>
    <t>Ingresos</t>
  </si>
  <si>
    <t>Carga Procesal</t>
  </si>
  <si>
    <t>Resueltos</t>
  </si>
  <si>
    <t>Civil</t>
  </si>
  <si>
    <t>Familia</t>
  </si>
  <si>
    <t>Laboral</t>
  </si>
  <si>
    <t>Penal</t>
  </si>
  <si>
    <t>Constitucional</t>
  </si>
  <si>
    <t>Extinción Dominio</t>
  </si>
  <si>
    <t>PROYECCIONES POBLACIONALES — REGIÓN JUNÍN (INEI 2007–2031)</t>
  </si>
  <si>
    <t>AÑO</t>
  </si>
  <si>
    <t>TIPO_AÑO</t>
  </si>
  <si>
    <t>PCT_VARONES</t>
  </si>
  <si>
    <t>PCT_MUJERES</t>
  </si>
  <si>
    <t>TASA_CREC_ANUAL</t>
  </si>
  <si>
    <t>Junín (región)</t>
  </si>
  <si>
    <t>Proyección</t>
  </si>
  <si>
    <t>Junín (prov.)</t>
  </si>
  <si>
    <t>POBLACIÓN — PIVOT VARONES / MUJERES / TOTAL POR PROVINCIA Y AÑO</t>
  </si>
  <si>
    <t>MÉTRICA</t>
  </si>
  <si>
    <t>2017</t>
  </si>
  <si>
    <t>2026</t>
  </si>
  <si>
    <t>2027</t>
  </si>
  <si>
    <t>2028</t>
  </si>
  <si>
    <t>2029</t>
  </si>
  <si>
    <t>2030</t>
  </si>
  <si>
    <t>2031</t>
  </si>
  <si>
    <t>Proyec.</t>
  </si>
  <si>
    <t>Varones</t>
  </si>
  <si>
    <t>Mujeres</t>
  </si>
  <si>
    <t>Total</t>
  </si>
  <si>
    <t>DETALLE DE ÓRGANOS JURISDICCIONALES POR PROVINCIA</t>
  </si>
  <si>
    <t>TIPO</t>
  </si>
  <si>
    <t>ESPECIALIDAD</t>
  </si>
  <si>
    <t>N°</t>
  </si>
  <si>
    <t>SEDE</t>
  </si>
  <si>
    <t>MAGISTRADO</t>
  </si>
  <si>
    <t>SEXO</t>
  </si>
  <si>
    <t>CONDICIÓN</t>
  </si>
  <si>
    <t xml:space="preserve">  PROVINCIA DE HUANCAYO</t>
  </si>
  <si>
    <t>Penal Apelaciones</t>
  </si>
  <si>
    <t>1°</t>
  </si>
  <si>
    <t>CHIPANA GUILLEN WALTER</t>
  </si>
  <si>
    <t>Varón</t>
  </si>
  <si>
    <t>Titular</t>
  </si>
  <si>
    <t>CARRERA TUPAC YUPANQUI SUSAN LETTY</t>
  </si>
  <si>
    <t>Mujer</t>
  </si>
  <si>
    <t>Supernumerario</t>
  </si>
  <si>
    <t>MEZA REYES ROBERTO JOHN</t>
  </si>
  <si>
    <t>Provisional</t>
  </si>
  <si>
    <t>2°</t>
  </si>
  <si>
    <t>CARVO CASTRO CARLOS ABRAHAM</t>
  </si>
  <si>
    <t>ARIAS ALFARO MIGUEL ANGEL</t>
  </si>
  <si>
    <t>QUISPE CAMA OMAR ATILIO</t>
  </si>
  <si>
    <t>Penal Apel. Corrupción</t>
  </si>
  <si>
    <t>-</t>
  </si>
  <si>
    <t>RODRIGUEZ HUAMANI CRISTOBAL EDUARDO</t>
  </si>
  <si>
    <t>TAMBINI VIVAS LILLIAM ROSALIA</t>
  </si>
  <si>
    <t>MACHUCA URBINA DANIEL</t>
  </si>
  <si>
    <t>ORIHUELA ABREGU ALEXANDER</t>
  </si>
  <si>
    <t>CARDENAS VILLEGAS MIRIAM LUZ</t>
  </si>
  <si>
    <t>CARDENAS PUENTE TERESA</t>
  </si>
  <si>
    <t>CRISTOVAL DE LA CRUZ TIMOTEO</t>
  </si>
  <si>
    <t>AVILA HUAMAN NEIL ERWIN</t>
  </si>
  <si>
    <t>URIOL ASTO EDUARDO ANSELMO</t>
  </si>
  <si>
    <t>QUISPE PARICAHUA CLETO MARCIAL</t>
  </si>
  <si>
    <t>SAMANIEGO CORNELIO LUIS MIGUEL</t>
  </si>
  <si>
    <t>CARHUANCHO MUCHA CARLOS RICHAR</t>
  </si>
  <si>
    <t>JUP</t>
  </si>
  <si>
    <t>Penal Colegiado</t>
  </si>
  <si>
    <t>TEVES VALDEZ NICK</t>
  </si>
  <si>
    <t>BALDEON SANABRIA MIGUEL JUNIOR</t>
  </si>
  <si>
    <t>MENDEZ CORNEJO CLAUDIO LUIS</t>
  </si>
  <si>
    <t>Penal Colegiado Trans. VCM</t>
  </si>
  <si>
    <t>YUPANQUI PEREZ CINTHIA MILAGROS</t>
  </si>
  <si>
    <t>ESPINOZA MILLÁN CARMEN ELIZABETH</t>
  </si>
  <si>
    <t>MEDRANO SEDANO ELIAS MARCEL</t>
  </si>
  <si>
    <t>VICUÑA ZAMORA JESUS</t>
  </si>
  <si>
    <t>BUSTAMANTE VERA JORGE ENRIQUE</t>
  </si>
  <si>
    <t>3°</t>
  </si>
  <si>
    <t>ARMAS INGA ESTRELLA</t>
  </si>
  <si>
    <t>4°</t>
  </si>
  <si>
    <t>BELTRAN GUZMAN ERICH JOHAN</t>
  </si>
  <si>
    <t>5°</t>
  </si>
  <si>
    <t>MANTARI MOLINA MANUEL</t>
  </si>
  <si>
    <t>Comercial</t>
  </si>
  <si>
    <t>TORRES ALTEZ DANTE REYNALDO</t>
  </si>
  <si>
    <t>CAJINCHO YAÑEZ DORIS</t>
  </si>
  <si>
    <t>CORILLA BAQUERIZO JENIS AIDA</t>
  </si>
  <si>
    <t>OLIVERA MONTERO IRMA ROSA</t>
  </si>
  <si>
    <t>MONDARGO MARTINEZ NEDER ELIAS</t>
  </si>
  <si>
    <t>ALVARADO PEREZ JUANA VIRGINIA</t>
  </si>
  <si>
    <t>Familia VCM</t>
  </si>
  <si>
    <t>SUASNABAR TOLENTINO LUIS RICARDO</t>
  </si>
  <si>
    <t>6°</t>
  </si>
  <si>
    <t>MORALES MONTES GRACIELA</t>
  </si>
  <si>
    <t>7°</t>
  </si>
  <si>
    <t>BALDEON GAMARRA ANGELA BEATRIZ</t>
  </si>
  <si>
    <t>8°</t>
  </si>
  <si>
    <t>TORRES DELGADO EDWIN VICTOR</t>
  </si>
  <si>
    <t>9°</t>
  </si>
  <si>
    <t>CARHUAMACA QUISPE GABRIELA</t>
  </si>
  <si>
    <t>10°</t>
  </si>
  <si>
    <t>AUQUI HUERTA TEOFANES EDGAR</t>
  </si>
  <si>
    <t>Penal Unip. Corrupción</t>
  </si>
  <si>
    <t>ALEJANDRO HUANUCO ROSEMARIE CLEMENCIA</t>
  </si>
  <si>
    <t>ARROYO AMES GUIDO REYNALDO</t>
  </si>
  <si>
    <t>Penal Unip. VCM</t>
  </si>
  <si>
    <t>CASTILLO GONZALES EMPERATRIZ VICTORIA</t>
  </si>
  <si>
    <t>CHUQUIPUIMA RICSE MERCEDES GEORGINA</t>
  </si>
  <si>
    <t>OBLITAS CEVALLOS LUIS ROLANDO</t>
  </si>
  <si>
    <t>Penal Unipersonal</t>
  </si>
  <si>
    <t>RODRIGUEZ LIZANA RAFAEL</t>
  </si>
  <si>
    <t>GONZALES ORE YONNY ALBINO</t>
  </si>
  <si>
    <t>PALOMINO PRADO RICHARD</t>
  </si>
  <si>
    <t>FERNÁNDEZ ORDOÑEZ AMPARO</t>
  </si>
  <si>
    <t>Trabajo</t>
  </si>
  <si>
    <t>ALVA RICALDI PAUL FAUSTINO</t>
  </si>
  <si>
    <t>CHANCO CASTILLON ESAU</t>
  </si>
  <si>
    <t>QUINTEROS CARLOS LETICIA</t>
  </si>
  <si>
    <t>GOMEZ BAZALAR IRIS EDITH</t>
  </si>
  <si>
    <t>Trabajo Transitorio</t>
  </si>
  <si>
    <t>ARTEAGA FERNANDEZ ISAAC ARTURO</t>
  </si>
  <si>
    <t>JIP</t>
  </si>
  <si>
    <t>Extinción de Dominio</t>
  </si>
  <si>
    <t>CONCHA CHAVEZ WILIAMAN PERCY</t>
  </si>
  <si>
    <t>Invest. Prep. Corrupción</t>
  </si>
  <si>
    <t>BALDEON QUISPE JULY ELIANE</t>
  </si>
  <si>
    <t>PALOMINO HUATUCO SAMMY KATHERINE</t>
  </si>
  <si>
    <t>Invest. Prep. Flagrancia</t>
  </si>
  <si>
    <t>GARCIA DEXTRE CLAUDIA BALDRAMINA</t>
  </si>
  <si>
    <t>LONGARAY CASTRO ROGER OMAR</t>
  </si>
  <si>
    <t>Invest. Prep. VCM</t>
  </si>
  <si>
    <t>GUTIERREZ HUAMAN HOOVER OSCAR</t>
  </si>
  <si>
    <t>JINES RAFAEL MARIBEL</t>
  </si>
  <si>
    <t>ROJAS CHANCASANAMPA MICHAEL HENRY</t>
  </si>
  <si>
    <t>Invest. Preparatoria</t>
  </si>
  <si>
    <t>HERRERA RIVAS RAFAEL AGUSTIN</t>
  </si>
  <si>
    <t>BELLO MERLO EVER</t>
  </si>
  <si>
    <t>GUADALUPE ULLOA RUBEN CESARIO</t>
  </si>
  <si>
    <t>Mixto</t>
  </si>
  <si>
    <t>DUEÑAS IZARRA FLOR DE LIZ</t>
  </si>
  <si>
    <t>JORGE RAMIREZ KATHYA CORINA</t>
  </si>
  <si>
    <t>Chilca</t>
  </si>
  <si>
    <t>CHAUCAYANQUI ZORRILLA RUTH</t>
  </si>
  <si>
    <t>CAMARENA CAMARENA MARCO ANTONIO</t>
  </si>
  <si>
    <t>CASTILLO AYALA MILANOVA DELIA</t>
  </si>
  <si>
    <t>CORILLOCLLA SANCHEZ DIANA LUZ</t>
  </si>
  <si>
    <t>El Tambo</t>
  </si>
  <si>
    <t>VELASQUEZ VIVAS ALIDA SOLEDAD</t>
  </si>
  <si>
    <t>ALANYA CASTILLO MIGUEL ANGEL</t>
  </si>
  <si>
    <t>URIBE MORAN MIGUEL ANGEL</t>
  </si>
  <si>
    <t>BARRIOS MORALES LUZ MARIBEL</t>
  </si>
  <si>
    <t>ARAUJO MONTES NELVA MICARELLI</t>
  </si>
  <si>
    <t xml:space="preserve">  PROVINCIA DE TARMA</t>
  </si>
  <si>
    <t>Mixta</t>
  </si>
  <si>
    <t>OLIVERA GUERRA NICK</t>
  </si>
  <si>
    <t>TAFUR FUENTES CESAR AUGUSTO</t>
  </si>
  <si>
    <t>TICONA MAMANI JOSE LUIS</t>
  </si>
  <si>
    <t>PEÑA TORRES EVGUENI</t>
  </si>
  <si>
    <t>ROJAS LAZARO WILLIAM RAUL</t>
  </si>
  <si>
    <t>CACHAY ROJAS MARIA DOLORES</t>
  </si>
  <si>
    <t>QUISPE VILCAPOMA RICHARTH</t>
  </si>
  <si>
    <t>VILLANUEVA ALTAMIRANO EDWIN WILSON</t>
  </si>
  <si>
    <t>CARHUAMACA CLAUDIO ALEX JUAN</t>
  </si>
  <si>
    <t>DIESTRA VIVAR EDGARDO RODOLFO</t>
  </si>
  <si>
    <t>Acobamba</t>
  </si>
  <si>
    <t>QUIROZ POZO WALKER</t>
  </si>
  <si>
    <t>SILVERIO CAMAHUALI GIULIANA PAOLA</t>
  </si>
  <si>
    <t xml:space="preserve">  PROVINCIA DE JAUJA</t>
  </si>
  <si>
    <t>BORDA VARGAS ITALO ARTURO</t>
  </si>
  <si>
    <t>RUCABADO ROMERO BLANCA NORMA</t>
  </si>
  <si>
    <t>PINO PUMA HENRY</t>
  </si>
  <si>
    <t>ARROYO VELITA HUGO</t>
  </si>
  <si>
    <t>PERALTA PAMPA LIZBETH PAOLA</t>
  </si>
  <si>
    <t>HUAMAN CARRASCO SEGUNDO JUAN</t>
  </si>
  <si>
    <t>MAMANI ESCOBAR CHRISTIAN ESBIARDO</t>
  </si>
  <si>
    <t xml:space="preserve">  PROVINCIA DE CHUPACA</t>
  </si>
  <si>
    <t>LUQUE PINTO JORGE RENE</t>
  </si>
  <si>
    <t>Civil Mixto Trans.</t>
  </si>
  <si>
    <t>JIMÉNEZ PATIÑO HENRY JUAN</t>
  </si>
  <si>
    <t>CURIÑAUPA MEDINA MARIO LUIS</t>
  </si>
  <si>
    <t>ZEBALLOS HURTADO GILMAR LEONIDAS</t>
  </si>
  <si>
    <t>DUEÑAS HINOJOSA ROY ROGER</t>
  </si>
  <si>
    <t xml:space="preserve">  PROVINCIA DE CONCEPCIÓN</t>
  </si>
  <si>
    <t>ROJAS MORALES NADIA</t>
  </si>
  <si>
    <t>LANDEO ALVAREZ FERNAN OLAVO</t>
  </si>
  <si>
    <t>PALOMINO LEON FIDEL HUGO</t>
  </si>
  <si>
    <t>ROMAN RAMOS JIMMY ANTHONY</t>
  </si>
  <si>
    <t xml:space="preserve">  PROVINCIA DE YAULI</t>
  </si>
  <si>
    <t>La Oroya</t>
  </si>
  <si>
    <t>SANTANA SOCUALAYA JESUS</t>
  </si>
  <si>
    <t>LLAMOCA MILLA SONIA AURORA</t>
  </si>
  <si>
    <t>SANTANA ANTEZANA MARIA ELENA</t>
  </si>
  <si>
    <t>HUACHOS BENITES ELIZABETH</t>
  </si>
  <si>
    <t xml:space="preserve">  PROVINCIA DE JUNÍN</t>
  </si>
  <si>
    <t>CORZO HINOJOSA SAUL YUNISHIRO</t>
  </si>
  <si>
    <t>CASTILLO RIVERA ELMER</t>
  </si>
  <si>
    <t>CALIZAYA HUALPA RUBEN TOMAS</t>
  </si>
  <si>
    <t>PEREZ NAVARRO LENIN RODER</t>
  </si>
  <si>
    <t xml:space="preserve">  PROVINCIA DE TAYACAJA</t>
  </si>
  <si>
    <t>Pampas</t>
  </si>
  <si>
    <t>LLALLICO MANZANEDO ALBERTO HENRY</t>
  </si>
  <si>
    <t>PINEDA CHAVEZ ROXANA</t>
  </si>
  <si>
    <t>MATOS CENTENO JOSE LEONEL</t>
  </si>
  <si>
    <t>MARTINEZ GARCIA ABEL YAHEVE</t>
  </si>
  <si>
    <t>Surcubamba</t>
  </si>
  <si>
    <t>CUADRADO MARIN JORGE ALBERTO</t>
  </si>
  <si>
    <t>DISTRIBUCIÓN POR TIPO DE ÓRGANO JURISDICCIONAL</t>
  </si>
  <si>
    <t>JPL — Juzgado de Paz Letrado  (20 magistrados)</t>
  </si>
  <si>
    <t>JIP — Juzgado de Investigación Preparatoria  (20 magistrados)</t>
  </si>
  <si>
    <t>JUP — Juzgado Unipersonal / Especializado  (54 magistrados)</t>
  </si>
  <si>
    <t>CAMARENA MADRID WILDER WALTER</t>
  </si>
  <si>
    <t>Trabajo Trans.</t>
  </si>
  <si>
    <t>SALA — Sala Superior  (7 magistrados)</t>
  </si>
  <si>
    <t>Penal Apelaciones Corrupción</t>
  </si>
  <si>
    <t>LEYENDA — Condición: T=Titular | S=Supernumerario | P=Provisional     Sexo: M=Varón | F=Mujer</t>
  </si>
  <si>
    <t>MAGISTRADOS CSJJ — DATA PLANA PARA DASHBOARD</t>
  </si>
  <si>
    <t>SEDE_LOCALIDAD</t>
  </si>
  <si>
    <t>TIPO_ORGANO</t>
  </si>
  <si>
    <t>NUMERO</t>
  </si>
  <si>
    <t>NOMBRE_COMPLETO</t>
  </si>
  <si>
    <t>CONDICION</t>
  </si>
  <si>
    <t>CONDICION_LABEL</t>
  </si>
  <si>
    <t>T</t>
  </si>
  <si>
    <t>S</t>
  </si>
  <si>
    <t>P</t>
  </si>
  <si>
    <t>J. ESP.</t>
  </si>
  <si>
    <t>INGAROCA CARLOS GUISELA DIANA</t>
  </si>
  <si>
    <t>PAREDES SANCHEZ MARIEL VERIOSHKA</t>
  </si>
  <si>
    <t>San Agustín de Cajas</t>
  </si>
  <si>
    <t>PROGRAMADAS</t>
  </si>
  <si>
    <t>ATENDIDAS</t>
  </si>
  <si>
    <t>SUSPENDIDAS</t>
  </si>
  <si>
    <t>Concepcion</t>
  </si>
  <si>
    <t>Junin</t>
  </si>
  <si>
    <t>año</t>
  </si>
  <si>
    <t>juzgado</t>
  </si>
  <si>
    <t>programadas</t>
  </si>
  <si>
    <t>realizadas</t>
  </si>
  <si>
    <t>suspendidas</t>
  </si>
  <si>
    <t>% atención</t>
  </si>
  <si>
    <t>% suspensión</t>
  </si>
  <si>
    <t>1 JIP</t>
  </si>
  <si>
    <t>2 JIP</t>
  </si>
  <si>
    <t>3 JIP</t>
  </si>
  <si>
    <t>1 JUP</t>
  </si>
  <si>
    <t>2 JUP</t>
  </si>
  <si>
    <t>3 JUP</t>
  </si>
  <si>
    <t>JPCC</t>
  </si>
  <si>
    <t>1 JPCT</t>
  </si>
  <si>
    <t>2 JPCT</t>
  </si>
  <si>
    <t>TASA_ATENCION</t>
  </si>
  <si>
    <t>Anual</t>
  </si>
  <si>
    <t>Parcial</t>
  </si>
  <si>
    <t>AUDIENCIAS — VISTA PIVOT POR SEDE Y AÑO</t>
  </si>
  <si>
    <t>Programadas</t>
  </si>
  <si>
    <t>Atendidas</t>
  </si>
  <si>
    <t>Suspendidas</t>
  </si>
  <si>
    <t>ORGANO_JURISDICCIONAL</t>
  </si>
  <si>
    <t>CARGA_MAXIMA</t>
  </si>
  <si>
    <t>CARGA_PROYECTADA</t>
  </si>
  <si>
    <t>PORC_SOBRECARGA</t>
  </si>
  <si>
    <t>SALA CIVIL DE HUANCAYO</t>
  </si>
  <si>
    <t>1° JUZGADO PENAL UNIPERSONAL DE HUANCAYO (PROC. INMEDIATOS)</t>
  </si>
  <si>
    <t>3° JUZGADO PENAL UNIPERSONAL DE HUANCAYO (PROC. INMEDIATOS)</t>
  </si>
  <si>
    <t>2° JUZGADO PENAL UNIPERSONAL DE HUANCAYO (PROC. COMUNES)</t>
  </si>
  <si>
    <t>4° JUZGADO PENAL UNIPERSONAL DE HUANCAYO (PROC. COMUNES)</t>
  </si>
  <si>
    <t>2° JUZGADO DE INVESTIGACIÓN PREPARATORIA DE HUANCAYO (PROC. COMUNES)</t>
  </si>
  <si>
    <t>1° JUZGADO DE INVESTIGACIÓN PREPARATORIA DE HUANCAYO (PROC. COMUNES)</t>
  </si>
  <si>
    <t>6° JUZGADO DE INVESTIGACIÓN PREPARATORIA DE HUANCAYO (PROC. COMUNES)</t>
  </si>
  <si>
    <t>2° JUZGADO DE FAMILIA DE HUANCAYO</t>
  </si>
  <si>
    <t>JUZGADO DE INVESTIGACIÓN PREPARATORIA DE CHUPACA (PROC. INMEDIATOS) (PROC. COMUNES)</t>
  </si>
  <si>
    <t>5° JUZGADO DE INVESTIGACIÓN PREPARATORIA SUPRAPROVINCIAL ESPECIALIZADO EN DELITO DE CORRUPCIÓN DE FUNCIONARIOS DE HUANCAYO</t>
  </si>
  <si>
    <t>8° JUZGADO DE INVESTIGACIÓN PREPARATORIA SUPRAPROVINCIAL ESPECIALIZADO EN DELITO DE CORRUPCIÓN DE FUNCIONARIOS DE HUANCAYO</t>
  </si>
  <si>
    <t>6° JUZGADO PENAL UNIPERSONAL SUPRAPROVINCIAL ESPECIALIZADO EN DELITOS DE CORRUPCIÓN DE FUNCIONARIOS HUANCAYO</t>
  </si>
  <si>
    <t>5° JUZGADO PENAL UNIPERSONAL SUPRAPROVINCIAL ESPECIALIZADO EN DELITOS DE CORRUPCIÓN DE FUNCIONARIOS HUANCAYO</t>
  </si>
  <si>
    <t>Provincia</t>
  </si>
  <si>
    <t>TasaCrec</t>
  </si>
  <si>
    <t>CATEGORIA</t>
  </si>
  <si>
    <t>CANTIDAD_JUECES</t>
  </si>
  <si>
    <t>PROY_POB_2026</t>
  </si>
  <si>
    <t>JUECES_POR_100K</t>
  </si>
  <si>
    <t>Tayacaja - Dpto. Huancavelica*</t>
  </si>
  <si>
    <t>Regimen</t>
  </si>
  <si>
    <t>Cantidad</t>
  </si>
  <si>
    <t>LEY 29277</t>
  </si>
  <si>
    <t>728</t>
  </si>
  <si>
    <t>276</t>
  </si>
  <si>
    <t>CAS</t>
  </si>
  <si>
    <t>RECAS</t>
  </si>
  <si>
    <t>CARGO</t>
  </si>
  <si>
    <t>ADMINISTRADOR</t>
  </si>
  <si>
    <t>ADMINISTRADOR DE CORTE SUPERIOR</t>
  </si>
  <si>
    <t>ADMINISTRADOR DE MODULO</t>
  </si>
  <si>
    <t>ADMINISTRADOR I</t>
  </si>
  <si>
    <t>ADMINISTRADOR MÓDULO DEL NUEVO CÓDIGO PROCESAL PENAL</t>
  </si>
  <si>
    <t>AGENTE DE  SEGURIDAD</t>
  </si>
  <si>
    <t>ANALISTA</t>
  </si>
  <si>
    <t>ANALISTA ADMINISTRATIVO/A</t>
  </si>
  <si>
    <t>ANALISTA DE INFORMATICA</t>
  </si>
  <si>
    <t>ANALISTA DE INFORMATICA - DESARROLLADOR</t>
  </si>
  <si>
    <t>ANALISTA I</t>
  </si>
  <si>
    <t>ANALISTA II</t>
  </si>
  <si>
    <t>APOYO ADMINISTRATIVO</t>
  </si>
  <si>
    <t>APOYO ADMINISTRATIVO EN EL ARCHIVO DESCENTRALIZADO DE TARMA Y OTRAS ACTIVIDADES ADMINISTRATIVAS</t>
  </si>
  <si>
    <t>APOYO ADMINISTRATIVO EN EL AREA DE NOTIFICACIONES</t>
  </si>
  <si>
    <t>APOYO ADMINISTRATIVO EN LAS AREAS DE NOTIFICACIONES</t>
  </si>
  <si>
    <t>APOYO EN ACTIVIDADES ADMINISTRATIVAS</t>
  </si>
  <si>
    <t>APOYO EN CONTRATACIONES CON EL ESTADO</t>
  </si>
  <si>
    <t>APOYO EN EL DESARROLLO DE FUNCIONES DEL EQUIPO ITINERANTE</t>
  </si>
  <si>
    <t>APOYO EN INFORMES PSICOLOGICOS</t>
  </si>
  <si>
    <t>APOYO EN LA PREPARACION DE ALIMENTOS EN EL WAWA WASI INSTITUCIONAL</t>
  </si>
  <si>
    <t>APOYO EN PERICIAS CONTABLES JUDICIALES</t>
  </si>
  <si>
    <t>APOYO JURISDICCIONAL</t>
  </si>
  <si>
    <t>ASESOR DE CORTE</t>
  </si>
  <si>
    <t>ASISTENTE ADMINISTRATIVO</t>
  </si>
  <si>
    <t>ASISTENTE ADMINISTRATIVO I</t>
  </si>
  <si>
    <t>ASISTENTE ADMINISTRATIVO I MODULO</t>
  </si>
  <si>
    <t>ASISTENTE ADMINISTRATIVO II</t>
  </si>
  <si>
    <t>ASISTENTE DE ATENCION AL PUBLICO</t>
  </si>
  <si>
    <t>ASISTENTE DE ATENCIÓN AL PÚBLICO</t>
  </si>
  <si>
    <t>ASISTENTE DE COMUNICACIONES</t>
  </si>
  <si>
    <t>ASISTENTE DE CUSTODIA Y GRABACION</t>
  </si>
  <si>
    <t>ASISTENTE DE CUSTODIA Y GRABACIÓN</t>
  </si>
  <si>
    <t>ASISTENTE DE INFORMÁTICA</t>
  </si>
  <si>
    <t>ASISTENTE DE SISTEMAS</t>
  </si>
  <si>
    <t>ASISTENTE EN INFORMATICA</t>
  </si>
  <si>
    <t>ASISTENTE EN SERVICIOS ADMINISTRATIVOS</t>
  </si>
  <si>
    <t>ASISTENTE EN SERVICIOS DE COMUNICACIONES</t>
  </si>
  <si>
    <t>ASISTENTE INFORMÁTICO</t>
  </si>
  <si>
    <t>ASISTENTE JUDICIAL</t>
  </si>
  <si>
    <t>ASISTENTE JUDICIAL - PENAL</t>
  </si>
  <si>
    <t>ASISTENTE JUDICIAL - PROTECCIÓN</t>
  </si>
  <si>
    <t>ASISTENTE JURISDICCIONAL</t>
  </si>
  <si>
    <t>ASISTENTE JURISDICCIONAL DE CUSTODIA DE EXPEDIENTES</t>
  </si>
  <si>
    <t>ASISTENTE JURISDICCIONAL DE JUZGADO</t>
  </si>
  <si>
    <t>ASISTENTE JURISDICCIONAL ITINERANTE</t>
  </si>
  <si>
    <t>ASISTENTE LEGAL</t>
  </si>
  <si>
    <t>ASISTENTE LEGAL DE JUZGADO</t>
  </si>
  <si>
    <t>ASISTENTE SOCIAL</t>
  </si>
  <si>
    <t>AUXILIAR ADMINISTRATIVO</t>
  </si>
  <si>
    <t>AUXILIAR ADMINISTRATIVO I</t>
  </si>
  <si>
    <t>AUXILIAR ADMINISTRATIVO II</t>
  </si>
  <si>
    <t>AUXILIAR EN VIGILANCIA Y CONTROL</t>
  </si>
  <si>
    <t>AUXILIAR JUDICIAL</t>
  </si>
  <si>
    <t>AUXILIAR JUDICIAL - PROTECCIÓN</t>
  </si>
  <si>
    <t>AUXILIAR JUDICIAL I</t>
  </si>
  <si>
    <t>AUXILIAR JURISDICCIONAL ITINERANTE</t>
  </si>
  <si>
    <t>AUXILIAR LEGAL</t>
  </si>
  <si>
    <t>CAJERO</t>
  </si>
  <si>
    <t>CHOFER</t>
  </si>
  <si>
    <t>CHOFER I</t>
  </si>
  <si>
    <t>CONDUCCION DE VEHICULO</t>
  </si>
  <si>
    <t>CONDUCTOR DE VEHÍCULO</t>
  </si>
  <si>
    <t>COORDINADOR(CSJ_UE)</t>
  </si>
  <si>
    <t>COORDINADOR/A DE CAUSA/ AUDIENCIA</t>
  </si>
  <si>
    <t>COORDINADOR/A I</t>
  </si>
  <si>
    <t>EDUCADOR (A) DE APOYO AL EQUIPO MULTIDISCIPLINARIO</t>
  </si>
  <si>
    <t>ESPECIALISTA EN CONTABILIDAD GUBERNAMENTAL</t>
  </si>
  <si>
    <t>ESPECIALISTA JUDICIAL DE AUDIENCIA</t>
  </si>
  <si>
    <t>ESPECIALISTA JUDICIAL DE JUZGADO</t>
  </si>
  <si>
    <t>ESPECIALISTA JUDICIAL DE SALA</t>
  </si>
  <si>
    <t>ESPECIALISTA LEGAL</t>
  </si>
  <si>
    <t>ESPECIALISTA LEGAL DE AUDIENCIA</t>
  </si>
  <si>
    <t>ESPECIALISTA LEGAL DE JUZGADO</t>
  </si>
  <si>
    <t>ESPECIALISTA LEGAL DE SALA</t>
  </si>
  <si>
    <t>JEFE DE UNIDAD</t>
  </si>
  <si>
    <t>JEFE/A DE UNIDAD</t>
  </si>
  <si>
    <t>JUEZ DE PAZ LETRADO</t>
  </si>
  <si>
    <t>JUEZ ESPECIALIZADO</t>
  </si>
  <si>
    <t>JUEZ ESPECIALIZADO 7U-4</t>
  </si>
  <si>
    <t>JUEZ SUPERIOR</t>
  </si>
  <si>
    <t>MADRE CUIDADORA DEL WAWA WASI INSTITUCIONAL</t>
  </si>
  <si>
    <t>MEDICO</t>
  </si>
  <si>
    <t>NOTIFICADOR</t>
  </si>
  <si>
    <t>PERITO JUDICIAL</t>
  </si>
  <si>
    <t>PERSONAL  DE SEGURIDAD</t>
  </si>
  <si>
    <t>PRESIDENTE DE CORTE SUPERIOR</t>
  </si>
  <si>
    <t>PROFESIONAL LEGAL</t>
  </si>
  <si>
    <t>PROFESIONAL LEGAL DE JUZGADO</t>
  </si>
  <si>
    <t>PSICOLOGO</t>
  </si>
  <si>
    <t>RELATOR I</t>
  </si>
  <si>
    <t>RESGUARDO, CUSTODIA Y VIGILANCIA</t>
  </si>
  <si>
    <t>REVISOR</t>
  </si>
  <si>
    <t>SECRETARIO DE SALA</t>
  </si>
  <si>
    <t>SECRETARIO III</t>
  </si>
  <si>
    <t>SECRETARIO JUDICIAL</t>
  </si>
  <si>
    <t>SECRETARIO JUDICIAL I</t>
  </si>
  <si>
    <t>SECRETARIO/A DE JUZGADO - PROTECCIÓN</t>
  </si>
  <si>
    <t>SECRETARIO/A JUDICIAL</t>
  </si>
  <si>
    <t>SEGURIDAD</t>
  </si>
  <si>
    <t>TECNICO ADMINISTRATIVO I</t>
  </si>
  <si>
    <t>TECNICO ADMINISTRATIVO II</t>
  </si>
  <si>
    <t>TECNICO JUDICIAL</t>
  </si>
  <si>
    <t>TECNICO JUDICIAL I</t>
  </si>
  <si>
    <t>TRABAJADOR SOCIAL</t>
  </si>
  <si>
    <t>TRABAJADORA SOCIAL</t>
  </si>
  <si>
    <t>SUPERN.</t>
  </si>
  <si>
    <t>PROV.</t>
  </si>
  <si>
    <t>VILLARREAL BALBIN IVAN</t>
  </si>
  <si>
    <t>RODRIGUEZ ALIAGA CIRO ALBERTO MARTIN</t>
  </si>
  <si>
    <t>DE LA CRUZ HUALLPA FRAN RONALD</t>
  </si>
  <si>
    <t>Familia Transitorio</t>
  </si>
  <si>
    <t>LLACZA ASENCIOS WALTER GERARDO</t>
  </si>
  <si>
    <t>ZUASNABAR GAMARRA FERNANDO</t>
  </si>
  <si>
    <t>D.L. 728</t>
  </si>
  <si>
    <t>D.L. 1057
CAS (N.T.) Y CAS (I)</t>
  </si>
  <si>
    <t>LEY 29277*</t>
  </si>
  <si>
    <t>D.L. 276</t>
  </si>
  <si>
    <t>JIMENEZ PATIÑO HENRY JUAN</t>
  </si>
  <si>
    <t>ESPINOZA MILLAN CARMEN ELIZABETH</t>
  </si>
  <si>
    <t>FERNANDEZ ORDOÑEZ AMPARO</t>
  </si>
  <si>
    <t>San Agustin</t>
  </si>
  <si>
    <t>Departamento</t>
  </si>
  <si>
    <t>UBIGEO</t>
  </si>
  <si>
    <t>0907</t>
  </si>
  <si>
    <t>Huancavelica</t>
  </si>
  <si>
    <t>Poblacion</t>
  </si>
  <si>
    <t>DISTRITO JUDICIAL DE JUNÍN</t>
  </si>
  <si>
    <t>A NIVEL NACIONAL</t>
  </si>
  <si>
    <t>Dependencia</t>
  </si>
  <si>
    <t>Nombre_Territorio</t>
  </si>
  <si>
    <t>Provincia_Fisica</t>
  </si>
  <si>
    <t>SALA CIVIL</t>
  </si>
  <si>
    <t>HUANCAYO</t>
  </si>
  <si>
    <t>1° SALA PENAL DE APELACIONES</t>
  </si>
  <si>
    <t>CHUPACA</t>
  </si>
  <si>
    <t>PAMPAS</t>
  </si>
  <si>
    <t>CONCEPCION</t>
  </si>
  <si>
    <t>2° SALA PENAL DE APELACIONES</t>
  </si>
  <si>
    <t>SALA PENAL DE APELACIONES TRANSITORIA ESPECIALIZADA EN DELITOS DE CORRUPCION DE FUNCIONARIOS</t>
  </si>
  <si>
    <t>1° SALA LABORAL</t>
  </si>
  <si>
    <t>2o SALA LABORAL</t>
  </si>
  <si>
    <t>1o JUZGADO CIVIL</t>
  </si>
  <si>
    <t>2o JUZGADO CIVIL</t>
  </si>
  <si>
    <t>3o JUZGADO CIVIL</t>
  </si>
  <si>
    <t>4o JUZGADO CIVIL</t>
  </si>
  <si>
    <t>5o JUZGADO CIVIL</t>
  </si>
  <si>
    <t>JUZGADO COMERCIAL</t>
  </si>
  <si>
    <t>JUZGADO CONSTITUCIONAL</t>
  </si>
  <si>
    <t>JUZGADO PENAL COLEGIADO</t>
  </si>
  <si>
    <t>TAYACAJA</t>
  </si>
  <si>
    <t>1° JUZGADO PENAL COLEGIADO TRANSITORIO SUBESPECIALIZADO EN VIOLENCIA CONTRA LA MUJER E INTEGRANTES DEL GRUPO FAMILIAR</t>
  </si>
  <si>
    <t>2° JUZGADO PENAL COLEGIADO TRANSITORIO SUBESPECIALIZADO EN VIOLENCIA CONTRA LA MUJER E INTEGRANTES DEL GRUPO FAMILIAR</t>
  </si>
  <si>
    <t>1o JUZGADO PENAL UNIPERSONAL - PROC. FLAGRANCIA, OMISION ASIST. FAM Y CONDUC. ESTADO EBRIEDAD</t>
  </si>
  <si>
    <t>CHANCHAMAYO</t>
  </si>
  <si>
    <t>JUNIN</t>
  </si>
  <si>
    <t>SATIPO</t>
  </si>
  <si>
    <t>TARMA</t>
  </si>
  <si>
    <t>YAULI</t>
  </si>
  <si>
    <t>2o JUZGADO PENAL UNIPERSONAL</t>
  </si>
  <si>
    <t>3o JUZGADO PENAL UNIPERSONAL - PROC. FLAGRANCIA, OMISION ASIST. FAM Y CONDUC. ESTADO EBRIEDAD</t>
  </si>
  <si>
    <t>4° JUZGADO PENAL UNIPERSONAL</t>
  </si>
  <si>
    <t>5o JUZGADO PENAL UNIPERSONAL SUPRAPROVINCIAL ESPECIALIZADO EN DELITOS DE CORRUPCION DE FUNCIONARIOS</t>
  </si>
  <si>
    <t>6o JUZGADO PENAL UNIPERSONAL SUPRAPROVINCIAL ESPECIALIZADO EN DELITOS DE CORRUPCION DE FUNCIONARIOS</t>
  </si>
  <si>
    <t>1° JUZGADO PENAL UNIPERSONAL, SUB ESPECIALIDAD DELITOS ASOC. VIOLENCIA CONTRA LAS MUJERES E INTEGR. GRUPO FAMILIAR</t>
  </si>
  <si>
    <t>HUACHOCOLPA</t>
  </si>
  <si>
    <t>SALCAHUASI</t>
  </si>
  <si>
    <t>SAN MARCOS DE ROCCHAC</t>
  </si>
  <si>
    <t>TINTAY PUNCU</t>
  </si>
  <si>
    <t>ROBLE</t>
  </si>
  <si>
    <t>HUANCAVELICA</t>
  </si>
  <si>
    <t>2° JUZGADO PENAL UNIPERSONAL, SUB ESPECIALIDAD DELITOS ASOC. VIOLENCIA CONTRA LAS MUJERES E INTEGR. GRUPO FAMILIAR</t>
  </si>
  <si>
    <t>3° JUZGADO PENAL UNIPERSONAL, SUB ESPECIALIDAD DELITOS ASOC. VIOLENCIA CONTRA LAS MUJERES E INTEGR. GRUPO FAMILIAR</t>
  </si>
  <si>
    <t>1° JUZGADO DE LA INVESTIGACION PREPARATORIA DE HUANCAYO</t>
  </si>
  <si>
    <t>2° JUZGADO DE LA INVESTIGACION PREPARATORIA DE HUANCAYO</t>
  </si>
  <si>
    <t>3° JUZGADO DE LA INVESTIGACION PREPARATORIA - PROC. FLAGRANCIA, OMISION ASIST. FAM Y CONDUC. ESTADO EBRIEDAD</t>
  </si>
  <si>
    <t>4° JUZGADO DE LA INVESTIGACION PREPARATORIA - PROC. FLAGRANCIA, OMISION ASIST. FAM Y CONDUC. ESTADO EBRIEDAD</t>
  </si>
  <si>
    <t>5o JUZGADO DE INVESTIGACION PREPARATORIA SUPRAPROVINCIAL ESPECIALIZADO EN DELITOS DE CORRUPCION DE FUNCIONARIOS</t>
  </si>
  <si>
    <t>6o JUZGADO DE INVESTIGACION PREPARATORIA DE HUANCAYO</t>
  </si>
  <si>
    <t>8° JUZGADO DE INVESTIGACION PREPARATORIA SUPRAPROVINCIAL ESPECIALIZADO EN DELITOS DE CORRUPCION DE FUNCIONARIOS</t>
  </si>
  <si>
    <t>1° JUZGADO DE INVESTIGACION PREPARATORIA, SUB ESPECIALIDAD DELITOS ASOC. VIOLENCIA CONTRA LAS MUJERES E INTEGR. GRUPO FA</t>
  </si>
  <si>
    <t>2° JUZGADO DE INVESTIGACION PREPARATORIA, SUB ESPECIALIDAD DELITOS ASOC. VIOLENCIA CONTRA LAS MUJERES E INTEGR. GRUPO FA</t>
  </si>
  <si>
    <t>3° JUZGADO DE INVESTIGACION PREPARATORIA, SUB ESPECIALIDAD DELITOS ASOC. VIOLENCIA CONTRA LAS MUJERES E INTEGR. GRUPO FA</t>
  </si>
  <si>
    <t>1° JUZGADO DE TRABAJO</t>
  </si>
  <si>
    <t>2° JUZGADO DE TRABAJO</t>
  </si>
  <si>
    <t>3° JUZGADO DE TRABAJO</t>
  </si>
  <si>
    <t>4° JUZGADO DE TRABAJO</t>
  </si>
  <si>
    <t>JUZGADO DE TRABAJO TRANSITORIO</t>
  </si>
  <si>
    <t>1o JUZGADO DE FAMILIA</t>
  </si>
  <si>
    <t>2o JUZGADO DE FAMILIA</t>
  </si>
  <si>
    <t>3o JUZGADO DE FAMILIA</t>
  </si>
  <si>
    <t>4o JUZGADO DE FAMILIA</t>
  </si>
  <si>
    <t>5° JUZGADO DE FAMILIA - SUBESPECIALIDAD EN VIOLENCIA CONTRA LAS MUJERES E INTEGRANTES DEL GRUPO FAMILIAR</t>
  </si>
  <si>
    <t>URUBAMBA</t>
  </si>
  <si>
    <t>6° JUZGADO DE FAMILIA - SUBESPECIALIDAD EN VIOLENCIA CONTRA LAS MUJERES E INTEGRANTES DEL GRUPO FAMILIAR</t>
  </si>
  <si>
    <t>7° JUZGADO DE FAMILIA - SUBESPECIALIDAD EN VIOLENCIA CONTRA LAS MUJERES E INTEGRANTES DEL GRUPO FAMILIAR</t>
  </si>
  <si>
    <t>8° JUZGADO DE FAMILIA - SUBESPECIALIDAD EN VIOLENCIA CONTRA LAS MUJERES E INTEGRANTES DEL GRUPO FAMILIAR</t>
  </si>
  <si>
    <t>9° JUZGADO DE FAMILIA - SUBESPECIALIDAD EN VIOLENCIA CONTRA LAS MUJERES E INTEGRANTES DEL GRUPO FAMILIAR</t>
  </si>
  <si>
    <t>10° JUZGADO DE FAMILIA - SUBESPECIALIDAD EN VIOLENCIA CONTRA LAS MUJERES E INTEGRANTES DEL GRUPO FAMILIAR</t>
  </si>
  <si>
    <t>JUZGADO ESPECIALIZADO EN EXTINCION DE DOMINIO</t>
  </si>
  <si>
    <t>1o JUZGADO DE PAZ LETRADO - FAMILIA - EL TAMBO</t>
  </si>
  <si>
    <t>2o JUZGADO DE PAZ LETRADO - FAMILIA - EL TAMBO</t>
  </si>
  <si>
    <t>3o JUZGADO DE PAZ LETRADO CIVIL - EL TAMBO</t>
  </si>
  <si>
    <t>4o JUZGADO DE PAZ LETRADO PENAL - EL TAMBO</t>
  </si>
  <si>
    <t>EL TAMBO</t>
  </si>
  <si>
    <t>JUZGADO DE PAZ LETRADO - LABORAL</t>
  </si>
  <si>
    <t>1o JUZGADO DE PAZ LETRADO</t>
  </si>
  <si>
    <t>PARIAHUANCA</t>
  </si>
  <si>
    <t>SAPALLANGA</t>
  </si>
  <si>
    <t>PUCARA</t>
  </si>
  <si>
    <t>2o JUZGADO DE PAZ LETRADO</t>
  </si>
  <si>
    <t>3o JUZGADO DE PAZ LETRADO</t>
  </si>
  <si>
    <t>1° JUZGADO DE PAZ LETRADO - CHILCA</t>
  </si>
  <si>
    <t>CHUPURO</t>
  </si>
  <si>
    <t>HUAYUCACHI</t>
  </si>
  <si>
    <t>HUANCANE</t>
  </si>
  <si>
    <t>2o JUZGADO DE PAZ LETRADO-CHILCA</t>
  </si>
  <si>
    <t>JUZGADO DE PAZ LETRADO - SAN AGUSTIN</t>
  </si>
  <si>
    <t>SAN JERONIMO DE TUNAN</t>
  </si>
  <si>
    <t>HUALHUAS</t>
  </si>
  <si>
    <t>SAN PEDRO DE SANO</t>
  </si>
  <si>
    <t>QUILCAS</t>
  </si>
  <si>
    <t>CAJA</t>
  </si>
  <si>
    <t>JUZGADO CIVIL</t>
  </si>
  <si>
    <t>JUZGADO CIVIL MIXTO TRANSITORIO</t>
  </si>
  <si>
    <t>JUZGADO PENAL UNIPERSONAL</t>
  </si>
  <si>
    <t>JUZGADO DE LA INVESTIGACION PREPARATORIA</t>
  </si>
  <si>
    <t>JUZGADO DE PAZ LETRADO</t>
  </si>
  <si>
    <t>INGENIO</t>
  </si>
  <si>
    <t>QUICHUAY</t>
  </si>
  <si>
    <t>SANTO DOMINGO DE ACOBAMBA</t>
  </si>
  <si>
    <t>JAUJA</t>
  </si>
  <si>
    <t>SALA MIXTA PERMANENTE</t>
  </si>
  <si>
    <t>LA OROYA</t>
  </si>
  <si>
    <t>1° JUZGADO PENAL UNIPERSONAL</t>
  </si>
  <si>
    <t>2° JUZGADO PENAL UNIPERSONAL</t>
  </si>
  <si>
    <t>3° JUZGADO PENAL UNIPERSONAL</t>
  </si>
  <si>
    <t>1° JUZGADO DE LA INVESTIGACION PREPARATORIA</t>
  </si>
  <si>
    <t>2o JUZGADO DE LA INVESTIGACION PREPARATORIA - PROC. FLAGRANCIA, OMISION ASIST. FAM Y CONDUC. ESTADO EBRIEDAD</t>
  </si>
  <si>
    <t>JUZGADO DE FAMILIA - SUB ESPECIALIDAD EN VIOLENCIA CONTRA LAS MUJERES E INTEGRANTES DEL GRUPO FAMILIAR</t>
  </si>
  <si>
    <t>1° JUZGADO DE PAZ LETRADO</t>
  </si>
  <si>
    <t>JUZGADO DE PAZ LETRADO - ACOBAMBA</t>
  </si>
  <si>
    <t>ACOBAMBA</t>
  </si>
  <si>
    <t>HUASAHUASI</t>
  </si>
  <si>
    <t>PALCA</t>
  </si>
  <si>
    <t>PACASMAYO</t>
  </si>
  <si>
    <t>SAN PEDRO DE CAJAS</t>
  </si>
  <si>
    <t>TAPO</t>
  </si>
  <si>
    <t>JUZGADO MIXTO</t>
  </si>
  <si>
    <t>CHINCHIHUASI</t>
  </si>
  <si>
    <t>PAUCARBAMBA</t>
  </si>
  <si>
    <t>PACHAMARCA</t>
  </si>
  <si>
    <t>JUZGADO DE PAZ LETRADO-PAMPAS - COLCABAMBA</t>
  </si>
  <si>
    <t>SURCUBAMBA</t>
  </si>
  <si>
    <t>COLCABAMBA</t>
  </si>
  <si>
    <t>CHURCAMPA</t>
  </si>
  <si>
    <t>JUZGADO DE PAZ LETRADO - SURCUBAMBA</t>
  </si>
  <si>
    <t>Codigo</t>
  </si>
  <si>
    <t>Distrito_Judicial</t>
  </si>
  <si>
    <t>Distrito</t>
  </si>
  <si>
    <t>Condicion</t>
  </si>
  <si>
    <t>Tipo_Organo</t>
  </si>
  <si>
    <t>Latitud_Decimal</t>
  </si>
  <si>
    <t>Longitud_Decimal</t>
  </si>
  <si>
    <t>4671</t>
  </si>
  <si>
    <t>PERMANENTE</t>
  </si>
  <si>
    <t>MIXTO</t>
  </si>
  <si>
    <t>SALA SUPERIOR</t>
  </si>
  <si>
    <t>3191</t>
  </si>
  <si>
    <t>PENAL</t>
  </si>
  <si>
    <t>6749</t>
  </si>
  <si>
    <t>5930</t>
  </si>
  <si>
    <t>TRANSITORIO</t>
  </si>
  <si>
    <t>4670</t>
  </si>
  <si>
    <t>LABORAL</t>
  </si>
  <si>
    <t>5254</t>
  </si>
  <si>
    <t>515</t>
  </si>
  <si>
    <t>CIVIL</t>
  </si>
  <si>
    <t>JUZGADO ESPECIALIZADO</t>
  </si>
  <si>
    <t>516</t>
  </si>
  <si>
    <t>517</t>
  </si>
  <si>
    <t>1784</t>
  </si>
  <si>
    <t>1702</t>
  </si>
  <si>
    <t>7027</t>
  </si>
  <si>
    <t>COMERCIAL</t>
  </si>
  <si>
    <t>7026</t>
  </si>
  <si>
    <t>CONSTITUCIONAL</t>
  </si>
  <si>
    <t>4439</t>
  </si>
  <si>
    <t>7186</t>
  </si>
  <si>
    <t>8147</t>
  </si>
  <si>
    <t>4553</t>
  </si>
  <si>
    <t>4554</t>
  </si>
  <si>
    <t>4555</t>
  </si>
  <si>
    <t>4200</t>
  </si>
  <si>
    <t>5421</t>
  </si>
  <si>
    <t>6208</t>
  </si>
  <si>
    <t>6838</t>
  </si>
  <si>
    <t>6839</t>
  </si>
  <si>
    <t>6840</t>
  </si>
  <si>
    <t>3181</t>
  </si>
  <si>
    <t>4199</t>
  </si>
  <si>
    <t>4426</t>
  </si>
  <si>
    <t>4427</t>
  </si>
  <si>
    <t>5422</t>
  </si>
  <si>
    <t>5929</t>
  </si>
  <si>
    <t>6546</t>
  </si>
  <si>
    <t>6835</t>
  </si>
  <si>
    <t>6836</t>
  </si>
  <si>
    <t>6837</t>
  </si>
  <si>
    <t>524</t>
  </si>
  <si>
    <t>3206</t>
  </si>
  <si>
    <t>4938</t>
  </si>
  <si>
    <t>6854</t>
  </si>
  <si>
    <t>6328</t>
  </si>
  <si>
    <t>525</t>
  </si>
  <si>
    <t>FAMILIA</t>
  </si>
  <si>
    <t>526</t>
  </si>
  <si>
    <t>527</t>
  </si>
  <si>
    <t>1575</t>
  </si>
  <si>
    <t>5984</t>
  </si>
  <si>
    <t>5985</t>
  </si>
  <si>
    <t>5986</t>
  </si>
  <si>
    <t>5987</t>
  </si>
  <si>
    <t>5988</t>
  </si>
  <si>
    <t>5989</t>
  </si>
  <si>
    <t>8136</t>
  </si>
  <si>
    <t>EXTINCION DE DOMINIO</t>
  </si>
  <si>
    <t>531</t>
  </si>
  <si>
    <t>532</t>
  </si>
  <si>
    <t>7423</t>
  </si>
  <si>
    <t>7424</t>
  </si>
  <si>
    <t>3207</t>
  </si>
  <si>
    <t>529</t>
  </si>
  <si>
    <t>530</t>
  </si>
  <si>
    <t>1576</t>
  </si>
  <si>
    <t>534</t>
  </si>
  <si>
    <t>CHILCA</t>
  </si>
  <si>
    <t>3914</t>
  </si>
  <si>
    <t>2873</t>
  </si>
  <si>
    <t>SAN AGUSTIN</t>
  </si>
  <si>
    <t>6729</t>
  </si>
  <si>
    <t>8379</t>
  </si>
  <si>
    <t>4432</t>
  </si>
  <si>
    <t>4419</t>
  </si>
  <si>
    <t>541</t>
  </si>
  <si>
    <t>5844</t>
  </si>
  <si>
    <t>5845</t>
  </si>
  <si>
    <t>4423</t>
  </si>
  <si>
    <t>543</t>
  </si>
  <si>
    <t>1355</t>
  </si>
  <si>
    <t>4431</t>
  </si>
  <si>
    <t>7160</t>
  </si>
  <si>
    <t>4418</t>
  </si>
  <si>
    <t>1° JUZGADO DE LA INVESTIGACION PREPARATORIA - PROC. FLAGRANCIA, OMISION ASIST. FAM Y CONDUC. ESTADO EBRIEDAD</t>
  </si>
  <si>
    <t>7159</t>
  </si>
  <si>
    <t>2° JUZGADO DE INVESTIGACION PREPARATORIA</t>
  </si>
  <si>
    <t>7029</t>
  </si>
  <si>
    <t>JUZGADO DE FAMILIA</t>
  </si>
  <si>
    <t>1357</t>
  </si>
  <si>
    <t>4436</t>
  </si>
  <si>
    <t>4425</t>
  </si>
  <si>
    <t>6730</t>
  </si>
  <si>
    <t>2913</t>
  </si>
  <si>
    <t>1701</t>
  </si>
  <si>
    <t>6731</t>
  </si>
  <si>
    <t>6982</t>
  </si>
  <si>
    <t>6981</t>
  </si>
  <si>
    <t>6983</t>
  </si>
  <si>
    <t>4416</t>
  </si>
  <si>
    <t>4539</t>
  </si>
  <si>
    <t>6824</t>
  </si>
  <si>
    <t>554</t>
  </si>
  <si>
    <t>2876</t>
  </si>
  <si>
    <t>6732</t>
  </si>
  <si>
    <t>4433</t>
  </si>
  <si>
    <t>4421</t>
  </si>
  <si>
    <t>559</t>
  </si>
  <si>
    <t>4435</t>
  </si>
  <si>
    <t>4424</t>
  </si>
  <si>
    <t>560</t>
  </si>
  <si>
    <t>561</t>
  </si>
  <si>
    <t>3913</t>
  </si>
  <si>
    <t>ID_Dep</t>
  </si>
  <si>
    <t>ID_Territorio</t>
  </si>
  <si>
    <t>Nombre</t>
  </si>
  <si>
    <t>Tipo</t>
  </si>
  <si>
    <t>DISTRITO</t>
  </si>
  <si>
    <t>PUNO</t>
  </si>
  <si>
    <t>DEPARTAMENTO</t>
  </si>
  <si>
    <t>LA LIBERTAD</t>
  </si>
  <si>
    <t>CUSCO</t>
  </si>
  <si>
    <t>Tipo_Competencia</t>
  </si>
  <si>
    <t>90200</t>
  </si>
  <si>
    <t>90204</t>
  </si>
  <si>
    <t>120300</t>
  </si>
  <si>
    <t>90503</t>
  </si>
  <si>
    <t>120800</t>
  </si>
  <si>
    <t>120107</t>
  </si>
  <si>
    <t>90500</t>
  </si>
  <si>
    <t>90704</t>
  </si>
  <si>
    <t>120200</t>
  </si>
  <si>
    <t>120110</t>
  </si>
  <si>
    <t>90706</t>
  </si>
  <si>
    <t>120112</t>
  </si>
  <si>
    <t>210600</t>
  </si>
  <si>
    <t>90000</t>
  </si>
  <si>
    <t>120100</t>
  </si>
  <si>
    <t>120604</t>
  </si>
  <si>
    <t>120115</t>
  </si>
  <si>
    <t>120116</t>
  </si>
  <si>
    <t>120000</t>
  </si>
  <si>
    <t>120704</t>
  </si>
  <si>
    <t>130700</t>
  </si>
  <si>
    <t>90511</t>
  </si>
  <si>
    <t>90113</t>
  </si>
  <si>
    <t>90701</t>
  </si>
  <si>
    <t>120117</t>
  </si>
  <si>
    <t>90507</t>
  </si>
  <si>
    <t>120119</t>
  </si>
  <si>
    <t>120120</t>
  </si>
  <si>
    <t>120121</t>
  </si>
  <si>
    <t>90717</t>
  </si>
  <si>
    <t>90713</t>
  </si>
  <si>
    <t>120123</t>
  </si>
  <si>
    <t>90714</t>
  </si>
  <si>
    <t>120608</t>
  </si>
  <si>
    <t>120124</t>
  </si>
  <si>
    <t>120125</t>
  </si>
  <si>
    <t>120126</t>
  </si>
  <si>
    <t>120500</t>
  </si>
  <si>
    <t>90715</t>
  </si>
  <si>
    <t>120609</t>
  </si>
  <si>
    <t>120600</t>
  </si>
  <si>
    <t>90700</t>
  </si>
  <si>
    <t>90716</t>
  </si>
  <si>
    <t>81300</t>
  </si>
  <si>
    <t>120700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</si>
</sst>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  <charset val="1"/>
    </font>
    <font>
      <b/>
      <sz val="12"/>
      <color rgb="FFFFFFFF"/>
      <name val="Arial"/>
      <family val="2"/>
    </font>
    <font>
      <b/>
      <sz val="10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8"/>
      <color rgb="FFFFFFFF"/>
      <name val="Arial"/>
      <family val="2"/>
    </font>
    <font>
      <i/>
      <sz val="8"/>
      <color rgb="FF595959"/>
      <name val="Arial"/>
      <family val="2"/>
    </font>
    <font>
      <sz val="9"/>
      <color theme="1"/>
      <name val="Segoe UI"/>
      <family val="2"/>
    </font>
    <font>
      <u/>
      <sz val="11"/>
      <color theme="1"/>
      <name val="Calibri"/>
      <family val="2"/>
      <charset val="1"/>
    </font>
    <font>
      <sz val="9"/>
      <color theme="1"/>
      <name val="Arial"/>
      <family val="2"/>
    </font>
    <font>
      <sz val="10"/>
      <color rgb="FF000000"/>
      <name val="Aptos Narrow"/>
      <family val="2"/>
      <scheme val="minor"/>
    </font>
    <font>
      <sz val="11"/>
      <color rgb="FF1F1F1F"/>
      <name val="Arial"/>
      <family val="2"/>
    </font>
    <font>
      <b/>
      <sz val="10"/>
      <color rgb="FFFFFFFF"/>
      <name val="Calibri"/>
    </font>
  </fonts>
  <fills count="35">
    <fill>
      <patternFill patternType="none"/>
    </fill>
    <fill>
      <patternFill patternType="gray125"/>
    </fill>
    <fill>
      <patternFill patternType="solid">
        <fgColor rgb="FF4A3A8A"/>
        <bgColor rgb="FF1F4E79"/>
      </patternFill>
    </fill>
    <fill>
      <patternFill patternType="solid">
        <fgColor rgb="FFD6E4F0"/>
        <bgColor rgb="FFDDEBF7"/>
      </patternFill>
    </fill>
    <fill>
      <patternFill patternType="solid">
        <fgColor rgb="FFFFFFFF"/>
        <bgColor rgb="FFF2F2F2"/>
      </patternFill>
    </fill>
    <fill>
      <patternFill patternType="solid">
        <fgColor rgb="FFD9EAD3"/>
        <bgColor rgb="FFD6E4F0"/>
      </patternFill>
    </fill>
    <fill>
      <patternFill patternType="solid">
        <fgColor rgb="FFFFF2CC"/>
        <bgColor rgb="FFFCE4D6"/>
      </patternFill>
    </fill>
    <fill>
      <patternFill patternType="solid">
        <fgColor rgb="FFE2DCEF"/>
        <bgColor rgb="FFD6E4F0"/>
      </patternFill>
    </fill>
    <fill>
      <patternFill patternType="solid">
        <fgColor rgb="FFFCE4D6"/>
        <bgColor rgb="FFFFF2CC"/>
      </patternFill>
    </fill>
    <fill>
      <patternFill patternType="solid">
        <fgColor rgb="FFDDEBF7"/>
        <bgColor rgb="FFD6E4F0"/>
      </patternFill>
    </fill>
    <fill>
      <patternFill patternType="solid">
        <fgColor rgb="FFEDEDED"/>
        <bgColor rgb="FFF2F2F2"/>
      </patternFill>
    </fill>
    <fill>
      <patternFill patternType="solid">
        <fgColor rgb="FFF4CCCC"/>
        <bgColor rgb="FFFFE0B2"/>
      </patternFill>
    </fill>
    <fill>
      <patternFill patternType="solid">
        <fgColor rgb="FFFFE0B2"/>
        <bgColor rgb="FFFCE4D6"/>
      </patternFill>
    </fill>
    <fill>
      <patternFill patternType="solid">
        <fgColor rgb="FF1F4E79"/>
        <bgColor rgb="FF0D6B6E"/>
      </patternFill>
    </fill>
    <fill>
      <patternFill patternType="solid">
        <fgColor rgb="FF595959"/>
        <bgColor rgb="FF4A3A8A"/>
      </patternFill>
    </fill>
    <fill>
      <patternFill patternType="solid">
        <fgColor rgb="FFF2F2F2"/>
        <bgColor rgb="FFFCE4EC"/>
      </patternFill>
    </fill>
    <fill>
      <patternFill patternType="solid">
        <fgColor rgb="FFD6E4F0"/>
        <bgColor rgb="FFE2DCEF"/>
      </patternFill>
    </fill>
    <fill>
      <patternFill patternType="solid">
        <fgColor rgb="FFFFF2CC"/>
        <bgColor rgb="FFF2F2F2"/>
      </patternFill>
    </fill>
    <fill>
      <patternFill patternType="solid">
        <fgColor rgb="FFFCE4EC"/>
        <bgColor rgb="FFF2F2F2"/>
      </patternFill>
    </fill>
    <fill>
      <patternFill patternType="solid">
        <fgColor rgb="FF1D6B4A"/>
        <bgColor rgb="FF0D6B6E"/>
      </patternFill>
    </fill>
    <fill>
      <patternFill patternType="solid">
        <fgColor rgb="FF843C0C"/>
        <bgColor rgb="FF7B3F00"/>
      </patternFill>
    </fill>
    <fill>
      <patternFill patternType="solid">
        <fgColor rgb="FF0D6B6E"/>
        <bgColor rgb="FF1D6B4A"/>
      </patternFill>
    </fill>
    <fill>
      <patternFill patternType="solid">
        <fgColor rgb="FF7B3F00"/>
        <bgColor rgb="FF843C0C"/>
      </patternFill>
    </fill>
    <fill>
      <patternFill patternType="solid">
        <fgColor rgb="FF5C3317"/>
        <bgColor rgb="FF7B3F00"/>
      </patternFill>
    </fill>
    <fill>
      <patternFill patternType="solid">
        <fgColor rgb="FFB8860B"/>
        <bgColor rgb="FFFF9900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EDEDED"/>
      </patternFill>
    </fill>
    <fill>
      <patternFill patternType="solid">
        <fgColor rgb="FF1F4E79"/>
        <bgColor rgb="FF1D6B4A"/>
      </patternFill>
    </fill>
    <fill>
      <patternFill patternType="solid">
        <fgColor rgb="FF1D6B4A"/>
        <bgColor rgb="FF1F4E79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BF360C"/>
      </patternFill>
    </fill>
    <fill>
      <patternFill patternType="solid">
        <fgColor rgb="FFEEF4FB"/>
      </patternFill>
    </fill>
    <fill>
      <patternFill patternType="solid">
        <fgColor rgb="FF1E3A5F"/>
      </patternFill>
    </fill>
    <fill>
      <patternFill patternType="solid">
        <fgColor rgb="FF1B5E20"/>
      </patternFill>
    </fill>
    <fill>
      <patternFill patternType="solid">
        <fgColor rgb="FF4A148C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3">
    <xf numFmtId="0" fontId="0" fillId="0" borderId="0"/>
    <xf numFmtId="0" fontId="1" fillId="0" borderId="0"/>
    <xf numFmtId="0" fontId="14" fillId="0" borderId="0"/>
  </cellStyleXfs>
  <cellXfs count="114">
    <xf numFmtId="0" fontId="0" fillId="0" borderId="0" xfId="0"/>
    <xf numFmtId="3" fontId="0" fillId="0" borderId="0" xfId="0" applyNumberFormat="1"/>
    <xf numFmtId="0" fontId="1" fillId="0" borderId="0" xfId="1"/>
    <xf numFmtId="0" fontId="3" fillId="2" borderId="1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left" vertical="center"/>
    </xf>
    <xf numFmtId="0" fontId="5" fillId="4" borderId="1" xfId="1" applyFont="1" applyFill="1" applyBorder="1" applyAlignment="1">
      <alignment horizontal="center" vertical="center"/>
    </xf>
    <xf numFmtId="3" fontId="5" fillId="4" borderId="1" xfId="1" applyNumberFormat="1" applyFont="1" applyFill="1" applyBorder="1" applyAlignment="1">
      <alignment horizontal="center" vertical="center"/>
    </xf>
    <xf numFmtId="164" fontId="5" fillId="4" borderId="1" xfId="1" applyNumberFormat="1" applyFont="1" applyFill="1" applyBorder="1" applyAlignment="1">
      <alignment horizontal="center" vertical="center" wrapText="1"/>
    </xf>
    <xf numFmtId="164" fontId="5" fillId="5" borderId="1" xfId="1" applyNumberFormat="1" applyFont="1" applyFill="1" applyBorder="1" applyAlignment="1">
      <alignment horizontal="center" vertical="center" wrapText="1"/>
    </xf>
    <xf numFmtId="3" fontId="5" fillId="6" borderId="1" xfId="1" applyNumberFormat="1" applyFont="1" applyFill="1" applyBorder="1" applyAlignment="1">
      <alignment horizontal="center" vertical="center"/>
    </xf>
    <xf numFmtId="0" fontId="4" fillId="5" borderId="1" xfId="1" applyFont="1" applyFill="1" applyBorder="1" applyAlignment="1">
      <alignment horizontal="left" vertical="center"/>
    </xf>
    <xf numFmtId="0" fontId="4" fillId="7" borderId="1" xfId="1" applyFont="1" applyFill="1" applyBorder="1" applyAlignment="1">
      <alignment horizontal="left" vertical="center"/>
    </xf>
    <xf numFmtId="0" fontId="4" fillId="6" borderId="1" xfId="1" applyFont="1" applyFill="1" applyBorder="1" applyAlignment="1">
      <alignment horizontal="left" vertical="center"/>
    </xf>
    <xf numFmtId="0" fontId="4" fillId="8" borderId="1" xfId="1" applyFont="1" applyFill="1" applyBorder="1" applyAlignment="1">
      <alignment horizontal="left" vertical="center"/>
    </xf>
    <xf numFmtId="0" fontId="4" fillId="9" borderId="1" xfId="1" applyFont="1" applyFill="1" applyBorder="1" applyAlignment="1">
      <alignment horizontal="left" vertical="center"/>
    </xf>
    <xf numFmtId="0" fontId="4" fillId="10" borderId="1" xfId="1" applyFont="1" applyFill="1" applyBorder="1" applyAlignment="1">
      <alignment horizontal="left" vertical="center"/>
    </xf>
    <xf numFmtId="0" fontId="4" fillId="11" borderId="1" xfId="1" applyFont="1" applyFill="1" applyBorder="1" applyAlignment="1">
      <alignment horizontal="left" vertical="center"/>
    </xf>
    <xf numFmtId="0" fontId="4" fillId="12" borderId="1" xfId="1" applyFont="1" applyFill="1" applyBorder="1" applyAlignment="1">
      <alignment horizontal="left" vertical="center"/>
    </xf>
    <xf numFmtId="164" fontId="5" fillId="8" borderId="1" xfId="1" applyNumberFormat="1" applyFont="1" applyFill="1" applyBorder="1" applyAlignment="1">
      <alignment horizontal="center" vertical="center" wrapText="1"/>
    </xf>
    <xf numFmtId="0" fontId="6" fillId="14" borderId="1" xfId="1" applyFont="1" applyFill="1" applyBorder="1" applyAlignment="1">
      <alignment horizontal="center" vertical="center" wrapText="1"/>
    </xf>
    <xf numFmtId="0" fontId="6" fillId="13" borderId="1" xfId="1" applyFont="1" applyFill="1" applyBorder="1" applyAlignment="1">
      <alignment horizontal="left" vertical="center" wrapText="1"/>
    </xf>
    <xf numFmtId="0" fontId="8" fillId="16" borderId="1" xfId="1" applyFont="1" applyFill="1" applyBorder="1" applyAlignment="1">
      <alignment horizontal="center" vertical="center" wrapText="1"/>
    </xf>
    <xf numFmtId="0" fontId="8" fillId="5" borderId="1" xfId="1" applyFont="1" applyFill="1" applyBorder="1" applyAlignment="1">
      <alignment horizontal="center" vertical="center" wrapText="1"/>
    </xf>
    <xf numFmtId="0" fontId="8" fillId="17" borderId="1" xfId="1" applyFont="1" applyFill="1" applyBorder="1" applyAlignment="1">
      <alignment horizontal="center" vertical="center" wrapText="1"/>
    </xf>
    <xf numFmtId="0" fontId="8" fillId="18" borderId="1" xfId="1" applyFont="1" applyFill="1" applyBorder="1" applyAlignment="1">
      <alignment horizontal="center" vertical="center" wrapText="1"/>
    </xf>
    <xf numFmtId="0" fontId="6" fillId="19" borderId="1" xfId="1" applyFont="1" applyFill="1" applyBorder="1" applyAlignment="1">
      <alignment horizontal="left" vertical="center" wrapText="1"/>
    </xf>
    <xf numFmtId="0" fontId="6" fillId="2" borderId="1" xfId="1" applyFont="1" applyFill="1" applyBorder="1" applyAlignment="1">
      <alignment horizontal="left" vertical="center" wrapText="1"/>
    </xf>
    <xf numFmtId="0" fontId="8" fillId="4" borderId="1" xfId="1" applyFont="1" applyFill="1" applyBorder="1" applyAlignment="1">
      <alignment horizontal="center" vertical="center" wrapText="1"/>
    </xf>
    <xf numFmtId="0" fontId="6" fillId="20" borderId="1" xfId="1" applyFont="1" applyFill="1" applyBorder="1" applyAlignment="1">
      <alignment horizontal="left" vertical="center" wrapText="1"/>
    </xf>
    <xf numFmtId="0" fontId="6" fillId="21" borderId="1" xfId="1" applyFont="1" applyFill="1" applyBorder="1" applyAlignment="1">
      <alignment horizontal="left" vertical="center" wrapText="1"/>
    </xf>
    <xf numFmtId="0" fontId="6" fillId="14" borderId="1" xfId="1" applyFont="1" applyFill="1" applyBorder="1" applyAlignment="1">
      <alignment horizontal="left" vertical="center" wrapText="1"/>
    </xf>
    <xf numFmtId="0" fontId="6" fillId="22" borderId="1" xfId="1" applyFont="1" applyFill="1" applyBorder="1" applyAlignment="1">
      <alignment horizontal="left" vertical="center" wrapText="1"/>
    </xf>
    <xf numFmtId="0" fontId="6" fillId="23" borderId="1" xfId="1" applyFont="1" applyFill="1" applyBorder="1" applyAlignment="1">
      <alignment horizontal="left" vertical="center" wrapText="1"/>
    </xf>
    <xf numFmtId="0" fontId="6" fillId="13" borderId="1" xfId="1" applyFont="1" applyFill="1" applyBorder="1" applyAlignment="1">
      <alignment horizontal="center" vertical="center" wrapText="1"/>
    </xf>
    <xf numFmtId="0" fontId="9" fillId="24" borderId="1" xfId="1" applyFont="1" applyFill="1" applyBorder="1" applyAlignment="1">
      <alignment horizontal="center" vertical="center" wrapText="1"/>
    </xf>
    <xf numFmtId="0" fontId="8" fillId="4" borderId="1" xfId="1" applyFont="1" applyFill="1" applyBorder="1" applyAlignment="1">
      <alignment horizontal="left" vertical="center" wrapText="1"/>
    </xf>
    <xf numFmtId="0" fontId="9" fillId="2" borderId="1" xfId="1" applyFont="1" applyFill="1" applyBorder="1" applyAlignment="1">
      <alignment horizontal="center" vertical="center" wrapText="1"/>
    </xf>
    <xf numFmtId="0" fontId="8" fillId="15" borderId="1" xfId="1" applyFont="1" applyFill="1" applyBorder="1" applyAlignment="1">
      <alignment horizontal="center" vertical="center" wrapText="1"/>
    </xf>
    <xf numFmtId="0" fontId="9" fillId="19" borderId="1" xfId="1" applyFont="1" applyFill="1" applyBorder="1" applyAlignment="1">
      <alignment horizontal="center" vertical="center" wrapText="1"/>
    </xf>
    <xf numFmtId="0" fontId="9" fillId="25" borderId="1" xfId="1" applyFont="1" applyFill="1" applyBorder="1" applyAlignment="1">
      <alignment horizontal="center" vertical="center" wrapText="1"/>
    </xf>
    <xf numFmtId="0" fontId="9" fillId="14" borderId="1" xfId="1" applyFont="1" applyFill="1" applyBorder="1" applyAlignment="1">
      <alignment horizontal="center" vertical="center" wrapText="1"/>
    </xf>
    <xf numFmtId="0" fontId="7" fillId="16" borderId="1" xfId="1" applyFont="1" applyFill="1" applyBorder="1" applyAlignment="1">
      <alignment horizontal="center" vertical="center" wrapText="1"/>
    </xf>
    <xf numFmtId="0" fontId="7" fillId="5" borderId="1" xfId="1" applyFont="1" applyFill="1" applyBorder="1" applyAlignment="1">
      <alignment horizontal="center" vertical="center" wrapText="1"/>
    </xf>
    <xf numFmtId="0" fontId="7" fillId="7" borderId="1" xfId="1" applyFont="1" applyFill="1" applyBorder="1" applyAlignment="1">
      <alignment horizontal="center" vertical="center" wrapText="1"/>
    </xf>
    <xf numFmtId="0" fontId="7" fillId="17" borderId="1" xfId="1" applyFont="1" applyFill="1" applyBorder="1" applyAlignment="1">
      <alignment horizontal="center" vertical="center" wrapText="1"/>
    </xf>
    <xf numFmtId="0" fontId="6" fillId="25" borderId="1" xfId="1" applyFont="1" applyFill="1" applyBorder="1" applyAlignment="1">
      <alignment horizontal="center" vertical="center" wrapText="1"/>
    </xf>
    <xf numFmtId="0" fontId="7" fillId="4" borderId="1" xfId="1" applyFont="1" applyFill="1" applyBorder="1" applyAlignment="1">
      <alignment horizontal="center" vertical="center" wrapText="1"/>
    </xf>
    <xf numFmtId="0" fontId="3" fillId="25" borderId="1" xfId="1" applyFont="1" applyFill="1" applyBorder="1" applyAlignment="1">
      <alignment horizontal="center" vertical="center" wrapText="1"/>
    </xf>
    <xf numFmtId="0" fontId="5" fillId="3" borderId="1" xfId="1" applyFont="1" applyFill="1" applyBorder="1" applyAlignment="1">
      <alignment horizontal="left" vertical="center"/>
    </xf>
    <xf numFmtId="0" fontId="5" fillId="7" borderId="1" xfId="1" applyFont="1" applyFill="1" applyBorder="1" applyAlignment="1">
      <alignment horizontal="left" vertical="center"/>
    </xf>
    <xf numFmtId="0" fontId="5" fillId="26" borderId="1" xfId="1" applyFont="1" applyFill="1" applyBorder="1" applyAlignment="1">
      <alignment horizontal="left" vertical="center"/>
    </xf>
    <xf numFmtId="0" fontId="3" fillId="14" borderId="1" xfId="1" applyFont="1" applyFill="1" applyBorder="1" applyAlignment="1">
      <alignment horizontal="center" vertical="center" wrapText="1"/>
    </xf>
    <xf numFmtId="0" fontId="5" fillId="4" borderId="1" xfId="1" applyFont="1" applyFill="1" applyBorder="1" applyAlignment="1">
      <alignment horizontal="center" vertical="center" wrapText="1"/>
    </xf>
    <xf numFmtId="0" fontId="5" fillId="4" borderId="1" xfId="1" applyFont="1" applyFill="1" applyBorder="1" applyAlignment="1">
      <alignment horizontal="left" vertical="center"/>
    </xf>
    <xf numFmtId="3" fontId="5" fillId="26" borderId="1" xfId="1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0" fontId="11" fillId="0" borderId="0" xfId="0" applyNumberFormat="1" applyFont="1" applyAlignment="1">
      <alignment horizontal="center" vertical="center"/>
    </xf>
    <xf numFmtId="0" fontId="12" fillId="0" borderId="0" xfId="1" applyFont="1"/>
    <xf numFmtId="0" fontId="13" fillId="4" borderId="1" xfId="1" applyFont="1" applyFill="1" applyBorder="1" applyAlignment="1">
      <alignment horizontal="center" vertical="center" wrapText="1"/>
    </xf>
    <xf numFmtId="0" fontId="8" fillId="4" borderId="2" xfId="1" applyFont="1" applyFill="1" applyBorder="1" applyAlignment="1">
      <alignment horizontal="center" vertical="center" wrapText="1"/>
    </xf>
    <xf numFmtId="0" fontId="9" fillId="25" borderId="2" xfId="1" applyFont="1" applyFill="1" applyBorder="1" applyAlignment="1">
      <alignment horizontal="center" vertical="center" wrapText="1"/>
    </xf>
    <xf numFmtId="0" fontId="8" fillId="4" borderId="2" xfId="1" applyFont="1" applyFill="1" applyBorder="1" applyAlignment="1">
      <alignment horizontal="left" vertical="center" wrapText="1"/>
    </xf>
    <xf numFmtId="0" fontId="8" fillId="18" borderId="2" xfId="1" applyFont="1" applyFill="1" applyBorder="1" applyAlignment="1">
      <alignment horizontal="center" vertical="center" wrapText="1"/>
    </xf>
    <xf numFmtId="0" fontId="8" fillId="15" borderId="2" xfId="1" applyFont="1" applyFill="1" applyBorder="1" applyAlignment="1">
      <alignment horizontal="center" vertical="center" wrapText="1"/>
    </xf>
    <xf numFmtId="1" fontId="7" fillId="15" borderId="1" xfId="1" applyNumberFormat="1" applyFont="1" applyFill="1" applyBorder="1" applyAlignment="1">
      <alignment horizontal="center" vertical="center" wrapText="1"/>
    </xf>
    <xf numFmtId="0" fontId="4" fillId="26" borderId="1" xfId="1" applyFont="1" applyFill="1" applyBorder="1" applyAlignment="1">
      <alignment horizontal="left" vertical="center"/>
    </xf>
    <xf numFmtId="3" fontId="4" fillId="26" borderId="1" xfId="1" applyNumberFormat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left" vertical="center"/>
    </xf>
    <xf numFmtId="3" fontId="4" fillId="4" borderId="1" xfId="1" applyNumberFormat="1" applyFont="1" applyFill="1" applyBorder="1" applyAlignment="1">
      <alignment horizontal="center" vertical="center"/>
    </xf>
    <xf numFmtId="3" fontId="5" fillId="4" borderId="1" xfId="1" applyNumberFormat="1" applyFont="1" applyFill="1" applyBorder="1" applyAlignment="1">
      <alignment horizontal="center" vertical="center" wrapText="1"/>
    </xf>
    <xf numFmtId="1" fontId="8" fillId="15" borderId="1" xfId="1" applyNumberFormat="1" applyFont="1" applyFill="1" applyBorder="1" applyAlignment="1">
      <alignment horizontal="center" vertical="center" wrapText="1"/>
    </xf>
    <xf numFmtId="0" fontId="8" fillId="15" borderId="1" xfId="1" quotePrefix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25" borderId="1" xfId="1" applyFont="1" applyFill="1" applyBorder="1" applyAlignment="1">
      <alignment horizontal="center" wrapText="1"/>
    </xf>
    <xf numFmtId="0" fontId="4" fillId="3" borderId="1" xfId="1" applyFont="1" applyFill="1" applyBorder="1" applyAlignment="1">
      <alignment horizontal="center"/>
    </xf>
    <xf numFmtId="0" fontId="15" fillId="0" borderId="8" xfId="0" applyFont="1" applyBorder="1" applyAlignment="1">
      <alignment horizontal="center" wrapText="1" readingOrder="1"/>
    </xf>
    <xf numFmtId="0" fontId="15" fillId="29" borderId="8" xfId="0" applyFont="1" applyFill="1" applyBorder="1" applyAlignment="1">
      <alignment horizontal="center" wrapText="1" readingOrder="1"/>
    </xf>
    <xf numFmtId="0" fontId="4" fillId="8" borderId="1" xfId="1" applyFont="1" applyFill="1" applyBorder="1" applyAlignment="1">
      <alignment horizontal="center"/>
    </xf>
    <xf numFmtId="0" fontId="4" fillId="11" borderId="1" xfId="1" applyFont="1" applyFill="1" applyBorder="1" applyAlignment="1">
      <alignment horizontal="center"/>
    </xf>
    <xf numFmtId="0" fontId="4" fillId="5" borderId="1" xfId="1" applyFont="1" applyFill="1" applyBorder="1" applyAlignment="1">
      <alignment horizontal="center"/>
    </xf>
    <xf numFmtId="0" fontId="4" fillId="10" borderId="1" xfId="1" applyFont="1" applyFill="1" applyBorder="1" applyAlignment="1">
      <alignment horizontal="center"/>
    </xf>
    <xf numFmtId="0" fontId="4" fillId="7" borderId="1" xfId="1" applyFont="1" applyFill="1" applyBorder="1" applyAlignment="1">
      <alignment horizontal="center"/>
    </xf>
    <xf numFmtId="0" fontId="4" fillId="6" borderId="1" xfId="1" applyFont="1" applyFill="1" applyBorder="1" applyAlignment="1">
      <alignment horizontal="center"/>
    </xf>
    <xf numFmtId="0" fontId="16" fillId="30" borderId="9" xfId="0" applyFont="1" applyFill="1" applyBorder="1" applyAlignment="1">
      <alignment horizontal="center" vertical="center" wrapText="1"/>
    </xf>
    <xf numFmtId="0" fontId="0" fillId="31" borderId="0" xfId="0" applyFill="1"/>
    <xf numFmtId="0" fontId="16" fillId="32" borderId="9" xfId="0" applyFont="1" applyFill="1" applyBorder="1" applyAlignment="1">
      <alignment horizontal="center" vertical="center" wrapText="1"/>
    </xf>
    <xf numFmtId="0" fontId="16" fillId="33" borderId="9" xfId="0" applyFont="1" applyFill="1" applyBorder="1" applyAlignment="1">
      <alignment horizontal="center" vertical="center" wrapText="1"/>
    </xf>
    <xf numFmtId="0" fontId="16" fillId="34" borderId="9" xfId="0" applyFont="1" applyFill="1" applyBorder="1" applyAlignment="1">
      <alignment horizontal="center" vertical="center" wrapText="1"/>
    </xf>
    <xf numFmtId="0" fontId="2" fillId="2" borderId="0" xfId="1" applyFont="1" applyFill="1" applyAlignment="1">
      <alignment horizontal="center" vertical="center" wrapText="1"/>
    </xf>
    <xf numFmtId="0" fontId="1" fillId="0" borderId="0" xfId="1"/>
    <xf numFmtId="0" fontId="3" fillId="2" borderId="3" xfId="1" applyFont="1" applyFill="1" applyBorder="1" applyAlignment="1">
      <alignment horizontal="center" vertical="center" wrapText="1"/>
    </xf>
    <xf numFmtId="0" fontId="0" fillId="0" borderId="5" xfId="0" applyBorder="1"/>
    <xf numFmtId="0" fontId="2" fillId="2" borderId="4" xfId="1" applyFont="1" applyFill="1" applyBorder="1" applyAlignment="1">
      <alignment horizontal="center" vertical="center" wrapText="1"/>
    </xf>
    <xf numFmtId="0" fontId="2" fillId="13" borderId="4" xfId="1" applyFont="1" applyFill="1" applyBorder="1" applyAlignment="1">
      <alignment horizontal="center" vertical="center" wrapText="1"/>
    </xf>
    <xf numFmtId="0" fontId="3" fillId="22" borderId="2" xfId="1" applyFont="1" applyFill="1" applyBorder="1" applyAlignment="1">
      <alignment horizontal="left" vertical="center" wrapText="1"/>
    </xf>
    <xf numFmtId="0" fontId="0" fillId="0" borderId="6" xfId="0" applyBorder="1"/>
    <xf numFmtId="0" fontId="3" fillId="20" borderId="2" xfId="1" applyFont="1" applyFill="1" applyBorder="1" applyAlignment="1">
      <alignment horizontal="left" vertical="center" wrapText="1"/>
    </xf>
    <xf numFmtId="0" fontId="3" fillId="2" borderId="2" xfId="1" applyFont="1" applyFill="1" applyBorder="1" applyAlignment="1">
      <alignment horizontal="left" vertical="center" wrapText="1"/>
    </xf>
    <xf numFmtId="0" fontId="3" fillId="23" borderId="2" xfId="1" applyFont="1" applyFill="1" applyBorder="1" applyAlignment="1">
      <alignment horizontal="left" vertical="center" wrapText="1"/>
    </xf>
    <xf numFmtId="0" fontId="2" fillId="13" borderId="0" xfId="1" applyFont="1" applyFill="1" applyAlignment="1">
      <alignment horizontal="center" vertical="center" wrapText="1"/>
    </xf>
    <xf numFmtId="0" fontId="3" fillId="13" borderId="2" xfId="1" applyFont="1" applyFill="1" applyBorder="1" applyAlignment="1">
      <alignment horizontal="left" vertical="center" wrapText="1"/>
    </xf>
    <xf numFmtId="0" fontId="3" fillId="19" borderId="2" xfId="1" applyFont="1" applyFill="1" applyBorder="1" applyAlignment="1">
      <alignment horizontal="left" vertical="center" wrapText="1"/>
    </xf>
    <xf numFmtId="0" fontId="3" fillId="14" borderId="2" xfId="1" applyFont="1" applyFill="1" applyBorder="1" applyAlignment="1">
      <alignment horizontal="left" vertical="center" wrapText="1"/>
    </xf>
    <xf numFmtId="0" fontId="3" fillId="21" borderId="2" xfId="1" applyFont="1" applyFill="1" applyBorder="1" applyAlignment="1">
      <alignment horizontal="left" vertical="center" wrapText="1"/>
    </xf>
    <xf numFmtId="0" fontId="3" fillId="25" borderId="2" xfId="1" applyFont="1" applyFill="1" applyBorder="1" applyAlignment="1">
      <alignment horizontal="left" vertical="center" wrapText="1"/>
    </xf>
    <xf numFmtId="0" fontId="10" fillId="0" borderId="0" xfId="1" applyFont="1" applyAlignment="1">
      <alignment horizontal="left" vertical="center" wrapText="1"/>
    </xf>
    <xf numFmtId="0" fontId="3" fillId="24" borderId="2" xfId="1" applyFont="1" applyFill="1" applyBorder="1" applyAlignment="1">
      <alignment horizontal="left" vertical="center" wrapText="1"/>
    </xf>
    <xf numFmtId="0" fontId="2" fillId="27" borderId="0" xfId="1" applyFont="1" applyFill="1" applyAlignment="1">
      <alignment horizontal="center" vertical="center" wrapText="1"/>
    </xf>
    <xf numFmtId="0" fontId="3" fillId="28" borderId="2" xfId="1" applyFont="1" applyFill="1" applyBorder="1" applyAlignment="1">
      <alignment horizontal="center" vertical="center" wrapText="1"/>
    </xf>
    <xf numFmtId="0" fontId="3" fillId="28" borderId="1" xfId="1" applyFont="1" applyFill="1" applyBorder="1" applyAlignment="1">
      <alignment horizontal="center" vertical="center" wrapText="1"/>
    </xf>
    <xf numFmtId="0" fontId="0" fillId="0" borderId="7" xfId="0" applyBorder="1"/>
    <xf numFmtId="49" fontId="16" fillId="34" borderId="9" xfId="0" applyNumberFormat="1" applyFont="1" applyFill="1" applyBorder="1" applyAlignment="1">
      <alignment horizontal="center" vertical="center" wrapText="1"/>
    </xf>
    <xf numFmtId="49" fontId="0" fillId="31" borderId="0" xfId="0" applyNumberFormat="1" applyFill="1"/>
    <xf numFmtId="49" fontId="0" fillId="0" borderId="0" xfId="0" applyNumberFormat="1"/>
  </cellXfs>
  <cellStyles count="3">
    <cellStyle name="Normal" xfId="0" builtinId="0"/>
    <cellStyle name="Normal 2" xfId="1" xr:uid="{00000000-0005-0000-0000-000001000000}"/>
    <cellStyle name="Normal 3" xfId="2" xr:uid="{9A9C7E34-9768-471A-A1AC-B4075C80EEB5}"/>
  </cellStyles>
  <dxfs count="2">
    <dxf>
      <numFmt numFmtId="3" formatCode="#,##0"/>
    </dxf>
    <dxf>
      <numFmt numFmtId="3" formatCode="#,##0"/>
    </dxf>
  </dxfs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" displayName="Tabla2" ref="A1:E59" totalsRowShown="0">
  <autoFilter ref="A1:E59" xr:uid="{00000000-0009-0000-0100-000001000000}"/>
  <tableColumns count="5">
    <tableColumn id="1" xr3:uid="{00000000-0010-0000-0000-000001000000}" name="Año"/>
    <tableColumn id="2" xr3:uid="{00000000-0010-0000-0000-000002000000}" name="Especialidad"/>
    <tableColumn id="3" xr3:uid="{00000000-0010-0000-0000-000003000000}" name="Ingresos" dataDxfId="1"/>
    <tableColumn id="4" xr3:uid="{00000000-0010-0000-0000-000004000000}" name="Carga Procesal" dataDxfId="0"/>
    <tableColumn id="5" xr3:uid="{00000000-0010-0000-0000-000005000000}" name="Resueltos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8"/>
  </sheetPr>
  <dimension ref="A1:E59"/>
  <sheetViews>
    <sheetView zoomScale="220" zoomScaleNormal="220" workbookViewId="0">
      <selection activeCell="G9" sqref="G9"/>
    </sheetView>
  </sheetViews>
  <sheetFormatPr baseColWidth="10" defaultRowHeight="15" x14ac:dyDescent="0.25"/>
  <cols>
    <col min="1" max="1" width="8.5703125" bestFit="1" customWidth="1"/>
    <col min="2" max="2" width="17.140625" bestFit="1" customWidth="1"/>
    <col min="4" max="4" width="15.85546875" customWidth="1"/>
    <col min="5" max="5" width="11.7109375" customWidth="1"/>
  </cols>
  <sheetData>
    <row r="1" spans="1:5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 spans="1:5" x14ac:dyDescent="0.25">
      <c r="A2">
        <v>2017</v>
      </c>
      <c r="B2" t="s">
        <v>23</v>
      </c>
      <c r="C2" s="1">
        <v>14257</v>
      </c>
      <c r="D2" s="1">
        <v>23698</v>
      </c>
      <c r="E2">
        <v>13223</v>
      </c>
    </row>
    <row r="3" spans="1:5" x14ac:dyDescent="0.25">
      <c r="A3">
        <v>2017</v>
      </c>
      <c r="B3" t="s">
        <v>24</v>
      </c>
      <c r="C3" s="1">
        <v>26130</v>
      </c>
      <c r="D3" s="1">
        <v>37058</v>
      </c>
      <c r="E3">
        <v>26249</v>
      </c>
    </row>
    <row r="4" spans="1:5" x14ac:dyDescent="0.25">
      <c r="A4">
        <v>2017</v>
      </c>
      <c r="B4" t="s">
        <v>25</v>
      </c>
      <c r="C4" s="1">
        <v>13863</v>
      </c>
      <c r="D4" s="1">
        <v>19895</v>
      </c>
      <c r="E4">
        <v>10575</v>
      </c>
    </row>
    <row r="5" spans="1:5" x14ac:dyDescent="0.25">
      <c r="A5">
        <v>2017</v>
      </c>
      <c r="B5" t="s">
        <v>26</v>
      </c>
      <c r="C5" s="1">
        <v>23813</v>
      </c>
      <c r="D5" s="1">
        <v>31897</v>
      </c>
      <c r="E5" s="1">
        <v>21771</v>
      </c>
    </row>
    <row r="6" spans="1:5" x14ac:dyDescent="0.25">
      <c r="A6">
        <v>2018</v>
      </c>
      <c r="B6" t="s">
        <v>23</v>
      </c>
      <c r="C6" s="1">
        <v>9877</v>
      </c>
      <c r="D6" s="1">
        <v>17023</v>
      </c>
      <c r="E6">
        <v>10060</v>
      </c>
    </row>
    <row r="7" spans="1:5" x14ac:dyDescent="0.25">
      <c r="A7">
        <v>2018</v>
      </c>
      <c r="B7" t="s">
        <v>27</v>
      </c>
      <c r="C7">
        <v>0</v>
      </c>
      <c r="D7">
        <v>0</v>
      </c>
      <c r="E7">
        <v>0</v>
      </c>
    </row>
    <row r="8" spans="1:5" x14ac:dyDescent="0.25">
      <c r="A8">
        <v>2018</v>
      </c>
      <c r="B8" t="s">
        <v>28</v>
      </c>
      <c r="C8">
        <v>0</v>
      </c>
      <c r="D8">
        <v>0</v>
      </c>
      <c r="E8">
        <v>0</v>
      </c>
    </row>
    <row r="9" spans="1:5" x14ac:dyDescent="0.25">
      <c r="A9">
        <v>2018</v>
      </c>
      <c r="B9" t="s">
        <v>24</v>
      </c>
      <c r="C9" s="1">
        <v>21971</v>
      </c>
      <c r="D9" s="1">
        <v>29955</v>
      </c>
      <c r="E9">
        <v>22084</v>
      </c>
    </row>
    <row r="10" spans="1:5" x14ac:dyDescent="0.25">
      <c r="A10">
        <v>2018</v>
      </c>
      <c r="B10" t="s">
        <v>25</v>
      </c>
      <c r="C10" s="1">
        <v>13879</v>
      </c>
      <c r="D10" s="1">
        <v>20040</v>
      </c>
      <c r="E10" s="1">
        <v>11180</v>
      </c>
    </row>
    <row r="11" spans="1:5" x14ac:dyDescent="0.25">
      <c r="A11">
        <v>2018</v>
      </c>
      <c r="B11" t="s">
        <v>26</v>
      </c>
      <c r="C11" s="1">
        <v>16239</v>
      </c>
      <c r="D11" s="1">
        <v>23574</v>
      </c>
      <c r="E11" s="1">
        <v>13901</v>
      </c>
    </row>
    <row r="12" spans="1:5" x14ac:dyDescent="0.25">
      <c r="A12">
        <v>2019</v>
      </c>
      <c r="B12" t="s">
        <v>23</v>
      </c>
      <c r="C12" s="1">
        <v>9160</v>
      </c>
      <c r="D12" s="1">
        <v>16003</v>
      </c>
      <c r="E12">
        <v>8656</v>
      </c>
    </row>
    <row r="13" spans="1:5" x14ac:dyDescent="0.25">
      <c r="A13">
        <v>2019</v>
      </c>
      <c r="B13" t="s">
        <v>27</v>
      </c>
      <c r="C13">
        <v>0</v>
      </c>
      <c r="D13">
        <v>0</v>
      </c>
      <c r="E13">
        <v>0</v>
      </c>
    </row>
    <row r="14" spans="1:5" x14ac:dyDescent="0.25">
      <c r="A14">
        <v>2019</v>
      </c>
      <c r="B14" t="s">
        <v>28</v>
      </c>
      <c r="C14">
        <v>1</v>
      </c>
      <c r="D14">
        <v>1</v>
      </c>
      <c r="E14">
        <v>0</v>
      </c>
    </row>
    <row r="15" spans="1:5" x14ac:dyDescent="0.25">
      <c r="A15">
        <v>2019</v>
      </c>
      <c r="B15" t="s">
        <v>24</v>
      </c>
      <c r="C15" s="1">
        <v>23892</v>
      </c>
      <c r="D15" s="1">
        <v>30471</v>
      </c>
      <c r="E15">
        <v>22614</v>
      </c>
    </row>
    <row r="16" spans="1:5" x14ac:dyDescent="0.25">
      <c r="A16">
        <v>2019</v>
      </c>
      <c r="B16" t="s">
        <v>25</v>
      </c>
      <c r="C16" s="1">
        <v>12931</v>
      </c>
      <c r="D16" s="1">
        <v>19394</v>
      </c>
      <c r="E16" s="1">
        <v>10965</v>
      </c>
    </row>
    <row r="17" spans="1:5" x14ac:dyDescent="0.25">
      <c r="A17">
        <v>2019</v>
      </c>
      <c r="B17" t="s">
        <v>26</v>
      </c>
      <c r="C17" s="1">
        <v>19218</v>
      </c>
      <c r="D17" s="1">
        <v>26512</v>
      </c>
      <c r="E17" s="1">
        <v>15402</v>
      </c>
    </row>
    <row r="18" spans="1:5" x14ac:dyDescent="0.25">
      <c r="A18">
        <v>2020</v>
      </c>
      <c r="B18" t="s">
        <v>23</v>
      </c>
      <c r="C18" s="1">
        <v>4087</v>
      </c>
      <c r="D18" s="1">
        <v>10894</v>
      </c>
      <c r="E18">
        <v>4128</v>
      </c>
    </row>
    <row r="19" spans="1:5" x14ac:dyDescent="0.25">
      <c r="A19">
        <v>2020</v>
      </c>
      <c r="B19" t="s">
        <v>27</v>
      </c>
      <c r="C19">
        <v>0</v>
      </c>
      <c r="D19">
        <v>0</v>
      </c>
      <c r="E19">
        <v>0</v>
      </c>
    </row>
    <row r="20" spans="1:5" x14ac:dyDescent="0.25">
      <c r="A20">
        <v>2020</v>
      </c>
      <c r="B20" t="s">
        <v>28</v>
      </c>
      <c r="C20">
        <v>3</v>
      </c>
      <c r="D20">
        <v>5</v>
      </c>
      <c r="E20">
        <v>0</v>
      </c>
    </row>
    <row r="21" spans="1:5" x14ac:dyDescent="0.25">
      <c r="A21">
        <v>2020</v>
      </c>
      <c r="B21" t="s">
        <v>24</v>
      </c>
      <c r="C21" s="1">
        <v>13959</v>
      </c>
      <c r="D21" s="1">
        <v>21076</v>
      </c>
      <c r="E21">
        <v>13403</v>
      </c>
    </row>
    <row r="22" spans="1:5" x14ac:dyDescent="0.25">
      <c r="A22">
        <v>2020</v>
      </c>
      <c r="B22" t="s">
        <v>25</v>
      </c>
      <c r="C22" s="1">
        <v>6665</v>
      </c>
      <c r="D22" s="1">
        <v>13349</v>
      </c>
      <c r="E22" s="1">
        <v>5016</v>
      </c>
    </row>
    <row r="23" spans="1:5" x14ac:dyDescent="0.25">
      <c r="A23">
        <v>2020</v>
      </c>
      <c r="B23" t="s">
        <v>26</v>
      </c>
      <c r="C23" s="1">
        <v>9746</v>
      </c>
      <c r="D23" s="1">
        <v>19179</v>
      </c>
      <c r="E23">
        <v>7525</v>
      </c>
    </row>
    <row r="24" spans="1:5" x14ac:dyDescent="0.25">
      <c r="A24">
        <v>2021</v>
      </c>
      <c r="B24" t="s">
        <v>23</v>
      </c>
      <c r="C24" s="1">
        <v>10265</v>
      </c>
      <c r="D24" s="1">
        <v>15760</v>
      </c>
      <c r="E24">
        <v>8205</v>
      </c>
    </row>
    <row r="25" spans="1:5" x14ac:dyDescent="0.25">
      <c r="A25">
        <v>2021</v>
      </c>
      <c r="B25" t="s">
        <v>27</v>
      </c>
      <c r="C25">
        <v>0</v>
      </c>
      <c r="D25">
        <v>0</v>
      </c>
      <c r="E25">
        <v>0</v>
      </c>
    </row>
    <row r="26" spans="1:5" x14ac:dyDescent="0.25">
      <c r="A26">
        <v>2021</v>
      </c>
      <c r="B26" t="s">
        <v>28</v>
      </c>
      <c r="C26">
        <v>18</v>
      </c>
      <c r="D26">
        <v>23</v>
      </c>
      <c r="E26">
        <v>12</v>
      </c>
    </row>
    <row r="27" spans="1:5" x14ac:dyDescent="0.25">
      <c r="A27">
        <v>2021</v>
      </c>
      <c r="B27" t="s">
        <v>24</v>
      </c>
      <c r="C27" s="1">
        <v>20282</v>
      </c>
      <c r="D27" s="1">
        <v>27130</v>
      </c>
      <c r="E27">
        <v>19152</v>
      </c>
    </row>
    <row r="28" spans="1:5" x14ac:dyDescent="0.25">
      <c r="A28">
        <v>2021</v>
      </c>
      <c r="B28" t="s">
        <v>25</v>
      </c>
      <c r="C28" s="1">
        <v>12302</v>
      </c>
      <c r="D28" s="1">
        <v>17484</v>
      </c>
      <c r="E28" s="1">
        <v>11390</v>
      </c>
    </row>
    <row r="29" spans="1:5" x14ac:dyDescent="0.25">
      <c r="A29">
        <v>2021</v>
      </c>
      <c r="B29" t="s">
        <v>26</v>
      </c>
      <c r="C29" s="1">
        <v>26483</v>
      </c>
      <c r="D29" s="1">
        <v>36227</v>
      </c>
      <c r="E29" s="1">
        <v>16696</v>
      </c>
    </row>
    <row r="30" spans="1:5" x14ac:dyDescent="0.25">
      <c r="A30">
        <v>2022</v>
      </c>
      <c r="B30" t="s">
        <v>23</v>
      </c>
      <c r="C30" s="1">
        <v>10529</v>
      </c>
      <c r="D30" s="1">
        <v>17387</v>
      </c>
      <c r="E30" s="1">
        <v>10042</v>
      </c>
    </row>
    <row r="31" spans="1:5" x14ac:dyDescent="0.25">
      <c r="A31">
        <v>2022</v>
      </c>
      <c r="B31" t="s">
        <v>27</v>
      </c>
      <c r="C31">
        <v>0</v>
      </c>
      <c r="D31">
        <v>0</v>
      </c>
      <c r="E31">
        <v>0</v>
      </c>
    </row>
    <row r="32" spans="1:5" x14ac:dyDescent="0.25">
      <c r="A32">
        <v>2022</v>
      </c>
      <c r="B32" t="s">
        <v>28</v>
      </c>
      <c r="C32">
        <v>64</v>
      </c>
      <c r="D32">
        <v>75</v>
      </c>
      <c r="E32">
        <v>45</v>
      </c>
    </row>
    <row r="33" spans="1:5" x14ac:dyDescent="0.25">
      <c r="A33">
        <v>2022</v>
      </c>
      <c r="B33" t="s">
        <v>24</v>
      </c>
      <c r="C33" s="1">
        <v>20203</v>
      </c>
      <c r="D33" s="1">
        <v>27590</v>
      </c>
      <c r="E33" s="1">
        <v>20545</v>
      </c>
    </row>
    <row r="34" spans="1:5" x14ac:dyDescent="0.25">
      <c r="A34">
        <v>2022</v>
      </c>
      <c r="B34" t="s">
        <v>25</v>
      </c>
      <c r="C34" s="1">
        <v>12326</v>
      </c>
      <c r="D34" s="1">
        <v>16407</v>
      </c>
      <c r="E34" s="1">
        <v>11705</v>
      </c>
    </row>
    <row r="35" spans="1:5" x14ac:dyDescent="0.25">
      <c r="A35">
        <v>2022</v>
      </c>
      <c r="B35" t="s">
        <v>26</v>
      </c>
      <c r="C35" s="1">
        <v>25402</v>
      </c>
      <c r="D35" s="1">
        <v>36592</v>
      </c>
      <c r="E35" s="1">
        <v>20372</v>
      </c>
    </row>
    <row r="36" spans="1:5" x14ac:dyDescent="0.25">
      <c r="A36">
        <v>2023</v>
      </c>
      <c r="B36" t="s">
        <v>23</v>
      </c>
      <c r="C36" s="1">
        <v>12224</v>
      </c>
      <c r="D36" s="1">
        <v>18198</v>
      </c>
      <c r="E36" s="1">
        <v>10941</v>
      </c>
    </row>
    <row r="37" spans="1:5" x14ac:dyDescent="0.25">
      <c r="A37">
        <v>2023</v>
      </c>
      <c r="B37" t="s">
        <v>27</v>
      </c>
      <c r="C37">
        <v>190</v>
      </c>
      <c r="D37">
        <v>190</v>
      </c>
      <c r="E37">
        <v>77</v>
      </c>
    </row>
    <row r="38" spans="1:5" x14ac:dyDescent="0.25">
      <c r="A38">
        <v>2023</v>
      </c>
      <c r="B38" t="s">
        <v>28</v>
      </c>
      <c r="C38">
        <v>41</v>
      </c>
      <c r="D38">
        <v>80</v>
      </c>
      <c r="E38">
        <v>58</v>
      </c>
    </row>
    <row r="39" spans="1:5" x14ac:dyDescent="0.25">
      <c r="A39">
        <v>2023</v>
      </c>
      <c r="B39" t="s">
        <v>24</v>
      </c>
      <c r="C39" s="1">
        <v>21877</v>
      </c>
      <c r="D39" s="1">
        <v>28565</v>
      </c>
      <c r="E39" s="1">
        <v>21388</v>
      </c>
    </row>
    <row r="40" spans="1:5" x14ac:dyDescent="0.25">
      <c r="A40">
        <v>2023</v>
      </c>
      <c r="B40" t="s">
        <v>25</v>
      </c>
      <c r="C40" s="1">
        <v>12599</v>
      </c>
      <c r="D40" s="1">
        <v>15788</v>
      </c>
      <c r="E40" s="1">
        <v>11314</v>
      </c>
    </row>
    <row r="41" spans="1:5" x14ac:dyDescent="0.25">
      <c r="A41">
        <v>2023</v>
      </c>
      <c r="B41" t="s">
        <v>26</v>
      </c>
      <c r="C41" s="1">
        <v>27499</v>
      </c>
      <c r="D41" s="1">
        <v>39091</v>
      </c>
      <c r="E41" s="1">
        <v>22404</v>
      </c>
    </row>
    <row r="42" spans="1:5" x14ac:dyDescent="0.25">
      <c r="A42">
        <v>2024</v>
      </c>
      <c r="B42" t="s">
        <v>23</v>
      </c>
      <c r="C42" s="1">
        <v>11916</v>
      </c>
      <c r="D42" s="1">
        <v>17512</v>
      </c>
      <c r="E42" s="1">
        <v>10990</v>
      </c>
    </row>
    <row r="43" spans="1:5" x14ac:dyDescent="0.25">
      <c r="A43">
        <v>2024</v>
      </c>
      <c r="B43" t="s">
        <v>27</v>
      </c>
      <c r="C43" s="1">
        <v>1056</v>
      </c>
      <c r="D43">
        <v>1153</v>
      </c>
      <c r="E43">
        <v>914</v>
      </c>
    </row>
    <row r="44" spans="1:5" x14ac:dyDescent="0.25">
      <c r="A44">
        <v>2024</v>
      </c>
      <c r="B44" t="s">
        <v>28</v>
      </c>
      <c r="C44">
        <v>27</v>
      </c>
      <c r="D44">
        <v>54</v>
      </c>
      <c r="E44">
        <v>49</v>
      </c>
    </row>
    <row r="45" spans="1:5" x14ac:dyDescent="0.25">
      <c r="A45">
        <v>2024</v>
      </c>
      <c r="B45" t="s">
        <v>24</v>
      </c>
      <c r="C45" s="1">
        <v>20367</v>
      </c>
      <c r="D45" s="1">
        <v>27153</v>
      </c>
      <c r="E45" s="1">
        <v>20472</v>
      </c>
    </row>
    <row r="46" spans="1:5" x14ac:dyDescent="0.25">
      <c r="A46">
        <v>2024</v>
      </c>
      <c r="B46" t="s">
        <v>25</v>
      </c>
      <c r="C46" s="1">
        <v>13444</v>
      </c>
      <c r="D46" s="1">
        <v>17210</v>
      </c>
      <c r="E46" s="1">
        <v>12072</v>
      </c>
    </row>
    <row r="47" spans="1:5" x14ac:dyDescent="0.25">
      <c r="A47">
        <v>2024</v>
      </c>
      <c r="B47" t="s">
        <v>26</v>
      </c>
      <c r="C47" s="1">
        <v>24880</v>
      </c>
      <c r="D47" s="1">
        <v>36847</v>
      </c>
      <c r="E47" s="1">
        <v>22974</v>
      </c>
    </row>
    <row r="48" spans="1:5" x14ac:dyDescent="0.25">
      <c r="A48">
        <v>2025</v>
      </c>
      <c r="B48" t="s">
        <v>23</v>
      </c>
      <c r="C48" s="1">
        <v>11266</v>
      </c>
      <c r="D48" s="1">
        <v>17236</v>
      </c>
      <c r="E48" s="1">
        <v>10925</v>
      </c>
    </row>
    <row r="49" spans="1:5" x14ac:dyDescent="0.25">
      <c r="A49">
        <v>2025</v>
      </c>
      <c r="B49" t="s">
        <v>27</v>
      </c>
      <c r="C49" s="1">
        <v>1496</v>
      </c>
      <c r="D49">
        <v>1696</v>
      </c>
      <c r="E49">
        <v>1379</v>
      </c>
    </row>
    <row r="50" spans="1:5" x14ac:dyDescent="0.25">
      <c r="A50">
        <v>2025</v>
      </c>
      <c r="B50" t="s">
        <v>28</v>
      </c>
      <c r="C50">
        <v>80</v>
      </c>
      <c r="D50">
        <v>110</v>
      </c>
      <c r="E50">
        <v>42</v>
      </c>
    </row>
    <row r="51" spans="1:5" x14ac:dyDescent="0.25">
      <c r="A51">
        <v>2025</v>
      </c>
      <c r="B51" t="s">
        <v>24</v>
      </c>
      <c r="C51" s="1">
        <v>20061</v>
      </c>
      <c r="D51" s="1">
        <v>26880</v>
      </c>
      <c r="E51" s="1">
        <v>20656</v>
      </c>
    </row>
    <row r="52" spans="1:5" x14ac:dyDescent="0.25">
      <c r="A52">
        <v>2025</v>
      </c>
      <c r="B52" t="s">
        <v>25</v>
      </c>
      <c r="C52" s="1">
        <v>12321</v>
      </c>
      <c r="D52" s="1">
        <v>16504</v>
      </c>
      <c r="E52" s="1">
        <v>11673</v>
      </c>
    </row>
    <row r="53" spans="1:5" x14ac:dyDescent="0.25">
      <c r="A53">
        <v>2025</v>
      </c>
      <c r="B53" t="s">
        <v>26</v>
      </c>
      <c r="C53" s="1">
        <v>23495</v>
      </c>
      <c r="D53" s="1">
        <v>36023</v>
      </c>
      <c r="E53" s="1">
        <v>22097</v>
      </c>
    </row>
    <row r="54" spans="1:5" x14ac:dyDescent="0.25">
      <c r="A54">
        <v>2026</v>
      </c>
      <c r="B54" t="s">
        <v>23</v>
      </c>
      <c r="C54" s="1">
        <v>2609</v>
      </c>
      <c r="D54" s="1">
        <v>8500</v>
      </c>
      <c r="E54">
        <v>2103</v>
      </c>
    </row>
    <row r="55" spans="1:5" x14ac:dyDescent="0.25">
      <c r="A55">
        <v>2026</v>
      </c>
      <c r="B55" t="s">
        <v>27</v>
      </c>
      <c r="C55">
        <v>281</v>
      </c>
      <c r="D55">
        <v>555</v>
      </c>
      <c r="E55">
        <v>261</v>
      </c>
    </row>
    <row r="56" spans="1:5" x14ac:dyDescent="0.25">
      <c r="A56">
        <v>2026</v>
      </c>
      <c r="B56" t="s">
        <v>28</v>
      </c>
      <c r="C56">
        <v>9</v>
      </c>
      <c r="D56">
        <v>45</v>
      </c>
      <c r="E56">
        <v>12</v>
      </c>
    </row>
    <row r="57" spans="1:5" x14ac:dyDescent="0.25">
      <c r="A57">
        <v>2026</v>
      </c>
      <c r="B57" t="s">
        <v>24</v>
      </c>
      <c r="C57" s="1">
        <v>5073</v>
      </c>
      <c r="D57" s="1">
        <v>10965</v>
      </c>
      <c r="E57" s="1">
        <v>4538</v>
      </c>
    </row>
    <row r="58" spans="1:5" x14ac:dyDescent="0.25">
      <c r="A58">
        <v>2026</v>
      </c>
      <c r="B58" t="s">
        <v>25</v>
      </c>
      <c r="C58" s="1">
        <v>2827</v>
      </c>
      <c r="D58" s="1">
        <v>6396</v>
      </c>
      <c r="E58">
        <v>2228</v>
      </c>
    </row>
    <row r="59" spans="1:5" x14ac:dyDescent="0.25">
      <c r="A59">
        <v>2026</v>
      </c>
      <c r="B59" t="s">
        <v>26</v>
      </c>
      <c r="C59" s="1">
        <v>5013</v>
      </c>
      <c r="D59" s="1">
        <v>18571</v>
      </c>
      <c r="E59" s="1">
        <v>4149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theme="9" tint="0.59999389629810485"/>
  </sheetPr>
  <dimension ref="A1:I56"/>
  <sheetViews>
    <sheetView zoomScaleNormal="100" workbookViewId="0">
      <selection activeCell="I25" sqref="I25"/>
    </sheetView>
  </sheetViews>
  <sheetFormatPr baseColWidth="10" defaultColWidth="8.7109375" defaultRowHeight="15" x14ac:dyDescent="0.25"/>
  <cols>
    <col min="1" max="1" width="20" style="2" customWidth="1"/>
    <col min="2" max="2" width="8" style="2" customWidth="1"/>
    <col min="3" max="3" width="14" style="2" customWidth="1"/>
    <col min="4" max="6" width="12" style="2" customWidth="1"/>
    <col min="7" max="8" width="14" style="2" customWidth="1"/>
    <col min="9" max="9" width="32.7109375" style="2" customWidth="1"/>
    <col min="10" max="10" width="8.7109375" style="2" customWidth="1"/>
    <col min="11" max="16384" width="8.7109375" style="2"/>
  </cols>
  <sheetData>
    <row r="1" spans="1:9" ht="21.75" customHeight="1" x14ac:dyDescent="0.25">
      <c r="A1" s="88" t="s">
        <v>29</v>
      </c>
      <c r="B1" s="89"/>
      <c r="C1" s="89"/>
      <c r="D1" s="89"/>
      <c r="E1" s="89"/>
      <c r="F1" s="89"/>
      <c r="G1" s="89"/>
      <c r="H1" s="89"/>
      <c r="I1" s="89"/>
    </row>
    <row r="2" spans="1:9" ht="25.5" customHeight="1" x14ac:dyDescent="0.25">
      <c r="A2" s="3" t="s">
        <v>1</v>
      </c>
      <c r="B2" s="3" t="s">
        <v>30</v>
      </c>
      <c r="C2" s="3" t="s">
        <v>31</v>
      </c>
      <c r="D2" s="3" t="s">
        <v>6</v>
      </c>
      <c r="E2" s="3" t="s">
        <v>7</v>
      </c>
      <c r="F2" s="3" t="s">
        <v>2</v>
      </c>
      <c r="G2" s="3" t="s">
        <v>32</v>
      </c>
      <c r="H2" s="3" t="s">
        <v>33</v>
      </c>
      <c r="I2" s="3" t="s">
        <v>34</v>
      </c>
    </row>
    <row r="3" spans="1:9" x14ac:dyDescent="0.25">
      <c r="A3" s="4" t="s">
        <v>35</v>
      </c>
      <c r="B3" s="5">
        <v>2026</v>
      </c>
      <c r="C3" s="5" t="s">
        <v>36</v>
      </c>
      <c r="D3" s="9">
        <v>462846</v>
      </c>
      <c r="E3" s="9">
        <v>506509</v>
      </c>
      <c r="F3" s="9">
        <v>969355</v>
      </c>
      <c r="G3" s="7">
        <v>0.47699999999999998</v>
      </c>
      <c r="H3" s="7">
        <v>0.52300000000000002</v>
      </c>
      <c r="I3" s="8">
        <v>2E-3</v>
      </c>
    </row>
    <row r="4" spans="1:9" x14ac:dyDescent="0.25">
      <c r="A4" s="4" t="s">
        <v>35</v>
      </c>
      <c r="B4" s="5">
        <v>2027</v>
      </c>
      <c r="C4" s="5" t="s">
        <v>36</v>
      </c>
      <c r="D4" s="9">
        <v>464571</v>
      </c>
      <c r="E4" s="9">
        <v>508556</v>
      </c>
      <c r="F4" s="9">
        <v>973127</v>
      </c>
      <c r="G4" s="7">
        <v>0.47699999999999998</v>
      </c>
      <c r="H4" s="7">
        <v>0.52300000000000002</v>
      </c>
      <c r="I4" s="8">
        <v>2E-3</v>
      </c>
    </row>
    <row r="5" spans="1:9" x14ac:dyDescent="0.25">
      <c r="A5" s="4" t="s">
        <v>35</v>
      </c>
      <c r="B5" s="5">
        <v>2028</v>
      </c>
      <c r="C5" s="5" t="s">
        <v>36</v>
      </c>
      <c r="D5" s="9">
        <v>466345</v>
      </c>
      <c r="E5" s="9">
        <v>510653</v>
      </c>
      <c r="F5" s="9">
        <v>976998</v>
      </c>
      <c r="G5" s="7">
        <v>0.47699999999999998</v>
      </c>
      <c r="H5" s="7">
        <v>0.52300000000000002</v>
      </c>
      <c r="I5" s="8">
        <v>2E-3</v>
      </c>
    </row>
    <row r="6" spans="1:9" x14ac:dyDescent="0.25">
      <c r="A6" s="4" t="s">
        <v>35</v>
      </c>
      <c r="B6" s="5">
        <v>2029</v>
      </c>
      <c r="C6" s="5" t="s">
        <v>36</v>
      </c>
      <c r="D6" s="9">
        <v>468163</v>
      </c>
      <c r="E6" s="9">
        <v>512798</v>
      </c>
      <c r="F6" s="9">
        <v>980961</v>
      </c>
      <c r="G6" s="7">
        <v>0.47699999999999998</v>
      </c>
      <c r="H6" s="7">
        <v>0.52300000000000002</v>
      </c>
      <c r="I6" s="8">
        <v>2E-3</v>
      </c>
    </row>
    <row r="7" spans="1:9" x14ac:dyDescent="0.25">
      <c r="A7" s="4" t="s">
        <v>35</v>
      </c>
      <c r="B7" s="5">
        <v>2030</v>
      </c>
      <c r="C7" s="5" t="s">
        <v>36</v>
      </c>
      <c r="D7" s="9">
        <v>470027</v>
      </c>
      <c r="E7" s="9">
        <v>514994</v>
      </c>
      <c r="F7" s="9">
        <v>985021</v>
      </c>
      <c r="G7" s="7">
        <v>0.47699999999999998</v>
      </c>
      <c r="H7" s="7">
        <v>0.52300000000000002</v>
      </c>
      <c r="I7" s="8">
        <v>2E-3</v>
      </c>
    </row>
    <row r="8" spans="1:9" x14ac:dyDescent="0.25">
      <c r="A8" s="4" t="s">
        <v>35</v>
      </c>
      <c r="B8" s="5">
        <v>2031</v>
      </c>
      <c r="C8" s="5" t="s">
        <v>36</v>
      </c>
      <c r="D8" s="9">
        <v>471936</v>
      </c>
      <c r="E8" s="9">
        <v>517239</v>
      </c>
      <c r="F8" s="9">
        <v>989175</v>
      </c>
      <c r="G8" s="7">
        <v>0.47699999999999998</v>
      </c>
      <c r="H8" s="7">
        <v>0.52300000000000002</v>
      </c>
      <c r="I8" s="8">
        <v>2E-3</v>
      </c>
    </row>
    <row r="9" spans="1:9" x14ac:dyDescent="0.25">
      <c r="A9" s="10" t="s">
        <v>9</v>
      </c>
      <c r="B9" s="5">
        <v>2026</v>
      </c>
      <c r="C9" s="5" t="s">
        <v>36</v>
      </c>
      <c r="D9" s="9">
        <v>297296</v>
      </c>
      <c r="E9" s="9">
        <v>332709</v>
      </c>
      <c r="F9" s="9">
        <v>630005</v>
      </c>
      <c r="G9" s="7">
        <v>0.47199999999999998</v>
      </c>
      <c r="H9" s="7">
        <v>0.52800000000000002</v>
      </c>
      <c r="I9" s="8">
        <v>0.01</v>
      </c>
    </row>
    <row r="10" spans="1:9" x14ac:dyDescent="0.25">
      <c r="A10" s="10" t="s">
        <v>9</v>
      </c>
      <c r="B10" s="5">
        <v>2027</v>
      </c>
      <c r="C10" s="5" t="s">
        <v>36</v>
      </c>
      <c r="D10" s="9">
        <v>300165</v>
      </c>
      <c r="E10" s="9">
        <v>335920</v>
      </c>
      <c r="F10" s="9">
        <v>636085</v>
      </c>
      <c r="G10" s="7">
        <v>0.47199999999999998</v>
      </c>
      <c r="H10" s="7">
        <v>0.52800000000000002</v>
      </c>
      <c r="I10" s="8">
        <v>0.01</v>
      </c>
    </row>
    <row r="11" spans="1:9" x14ac:dyDescent="0.25">
      <c r="A11" s="10" t="s">
        <v>9</v>
      </c>
      <c r="B11" s="5">
        <v>2028</v>
      </c>
      <c r="C11" s="5" t="s">
        <v>36</v>
      </c>
      <c r="D11" s="9">
        <v>303062</v>
      </c>
      <c r="E11" s="9">
        <v>339162</v>
      </c>
      <c r="F11" s="9">
        <v>642224</v>
      </c>
      <c r="G11" s="7">
        <v>0.47199999999999998</v>
      </c>
      <c r="H11" s="7">
        <v>0.52800000000000002</v>
      </c>
      <c r="I11" s="8">
        <v>0.01</v>
      </c>
    </row>
    <row r="12" spans="1:9" x14ac:dyDescent="0.25">
      <c r="A12" s="10" t="s">
        <v>9</v>
      </c>
      <c r="B12" s="5">
        <v>2029</v>
      </c>
      <c r="C12" s="5" t="s">
        <v>36</v>
      </c>
      <c r="D12" s="9">
        <v>305987</v>
      </c>
      <c r="E12" s="9">
        <v>342435</v>
      </c>
      <c r="F12" s="9">
        <v>648422</v>
      </c>
      <c r="G12" s="7">
        <v>0.47199999999999998</v>
      </c>
      <c r="H12" s="7">
        <v>0.52800000000000002</v>
      </c>
      <c r="I12" s="8">
        <v>0.01</v>
      </c>
    </row>
    <row r="13" spans="1:9" x14ac:dyDescent="0.25">
      <c r="A13" s="10" t="s">
        <v>9</v>
      </c>
      <c r="B13" s="5">
        <v>2030</v>
      </c>
      <c r="C13" s="5" t="s">
        <v>36</v>
      </c>
      <c r="D13" s="9">
        <v>308940</v>
      </c>
      <c r="E13" s="9">
        <v>345740</v>
      </c>
      <c r="F13" s="9">
        <v>654680</v>
      </c>
      <c r="G13" s="7">
        <v>0.47199999999999998</v>
      </c>
      <c r="H13" s="7">
        <v>0.52800000000000002</v>
      </c>
      <c r="I13" s="8">
        <v>0.01</v>
      </c>
    </row>
    <row r="14" spans="1:9" x14ac:dyDescent="0.25">
      <c r="A14" s="10" t="s">
        <v>9</v>
      </c>
      <c r="B14" s="5">
        <v>2031</v>
      </c>
      <c r="C14" s="5" t="s">
        <v>36</v>
      </c>
      <c r="D14" s="9">
        <v>311921</v>
      </c>
      <c r="E14" s="9">
        <v>349076</v>
      </c>
      <c r="F14" s="9">
        <v>660997</v>
      </c>
      <c r="G14" s="7">
        <v>0.47199999999999998</v>
      </c>
      <c r="H14" s="7">
        <v>0.52800000000000002</v>
      </c>
      <c r="I14" s="8">
        <v>0.01</v>
      </c>
    </row>
    <row r="15" spans="1:9" x14ac:dyDescent="0.25">
      <c r="A15" s="11" t="s">
        <v>14</v>
      </c>
      <c r="B15" s="5">
        <v>2026</v>
      </c>
      <c r="C15" s="5" t="s">
        <v>36</v>
      </c>
      <c r="D15" s="9">
        <v>27417</v>
      </c>
      <c r="E15" s="9">
        <v>30265</v>
      </c>
      <c r="F15" s="9">
        <v>57682</v>
      </c>
      <c r="G15" s="7">
        <v>0.47499999999999998</v>
      </c>
      <c r="H15" s="7">
        <v>0.52500000000000002</v>
      </c>
      <c r="I15" s="8">
        <v>-3.0000000000000001E-3</v>
      </c>
    </row>
    <row r="16" spans="1:9" x14ac:dyDescent="0.25">
      <c r="A16" s="11" t="s">
        <v>14</v>
      </c>
      <c r="B16" s="5">
        <v>2027</v>
      </c>
      <c r="C16" s="5" t="s">
        <v>36</v>
      </c>
      <c r="D16" s="9">
        <v>27345</v>
      </c>
      <c r="E16" s="9">
        <v>30186</v>
      </c>
      <c r="F16" s="9">
        <v>57531</v>
      </c>
      <c r="G16" s="7">
        <v>0.47499999999999998</v>
      </c>
      <c r="H16" s="7">
        <v>0.52500000000000002</v>
      </c>
      <c r="I16" s="8">
        <v>-3.0000000000000001E-3</v>
      </c>
    </row>
    <row r="17" spans="1:9" x14ac:dyDescent="0.25">
      <c r="A17" s="11" t="s">
        <v>14</v>
      </c>
      <c r="B17" s="5">
        <v>2028</v>
      </c>
      <c r="C17" s="5" t="s">
        <v>36</v>
      </c>
      <c r="D17" s="9">
        <v>27274</v>
      </c>
      <c r="E17" s="9">
        <v>30107</v>
      </c>
      <c r="F17" s="9">
        <v>57381</v>
      </c>
      <c r="G17" s="7">
        <v>0.47499999999999998</v>
      </c>
      <c r="H17" s="7">
        <v>0.52500000000000002</v>
      </c>
      <c r="I17" s="8">
        <v>-3.0000000000000001E-3</v>
      </c>
    </row>
    <row r="18" spans="1:9" x14ac:dyDescent="0.25">
      <c r="A18" s="11" t="s">
        <v>14</v>
      </c>
      <c r="B18" s="5">
        <v>2029</v>
      </c>
      <c r="C18" s="5" t="s">
        <v>36</v>
      </c>
      <c r="D18" s="9">
        <v>27203</v>
      </c>
      <c r="E18" s="9">
        <v>30028</v>
      </c>
      <c r="F18" s="9">
        <v>57231</v>
      </c>
      <c r="G18" s="7">
        <v>0.47499999999999998</v>
      </c>
      <c r="H18" s="7">
        <v>0.52500000000000002</v>
      </c>
      <c r="I18" s="8">
        <v>-3.0000000000000001E-3</v>
      </c>
    </row>
    <row r="19" spans="1:9" x14ac:dyDescent="0.25">
      <c r="A19" s="11" t="s">
        <v>14</v>
      </c>
      <c r="B19" s="5">
        <v>2030</v>
      </c>
      <c r="C19" s="5" t="s">
        <v>36</v>
      </c>
      <c r="D19" s="9">
        <v>27132</v>
      </c>
      <c r="E19" s="9">
        <v>29950</v>
      </c>
      <c r="F19" s="9">
        <v>57082</v>
      </c>
      <c r="G19" s="7">
        <v>0.47499999999999998</v>
      </c>
      <c r="H19" s="7">
        <v>0.52500000000000002</v>
      </c>
      <c r="I19" s="8">
        <v>-3.0000000000000001E-3</v>
      </c>
    </row>
    <row r="20" spans="1:9" x14ac:dyDescent="0.25">
      <c r="A20" s="11" t="s">
        <v>14</v>
      </c>
      <c r="B20" s="5">
        <v>2031</v>
      </c>
      <c r="C20" s="5" t="s">
        <v>36</v>
      </c>
      <c r="D20" s="9">
        <v>27061</v>
      </c>
      <c r="E20" s="9">
        <v>29872</v>
      </c>
      <c r="F20" s="9">
        <v>56933</v>
      </c>
      <c r="G20" s="7">
        <v>0.47499999999999998</v>
      </c>
      <c r="H20" s="7">
        <v>0.52500000000000002</v>
      </c>
      <c r="I20" s="8">
        <v>-3.0000000000000001E-3</v>
      </c>
    </row>
    <row r="21" spans="1:9" x14ac:dyDescent="0.25">
      <c r="A21" s="12" t="s">
        <v>11</v>
      </c>
      <c r="B21" s="5">
        <v>2026</v>
      </c>
      <c r="C21" s="5" t="s">
        <v>36</v>
      </c>
      <c r="D21" s="9">
        <v>40613</v>
      </c>
      <c r="E21" s="9">
        <v>44620</v>
      </c>
      <c r="F21" s="9">
        <v>85233</v>
      </c>
      <c r="G21" s="7">
        <v>0.47599999999999998</v>
      </c>
      <c r="H21" s="7">
        <v>0.52400000000000002</v>
      </c>
      <c r="I21" s="8">
        <v>-4.0000000000000001E-3</v>
      </c>
    </row>
    <row r="22" spans="1:9" x14ac:dyDescent="0.25">
      <c r="A22" s="12" t="s">
        <v>11</v>
      </c>
      <c r="B22" s="5">
        <v>2027</v>
      </c>
      <c r="C22" s="5" t="s">
        <v>36</v>
      </c>
      <c r="D22" s="9">
        <v>40444</v>
      </c>
      <c r="E22" s="9">
        <v>44435</v>
      </c>
      <c r="F22" s="9">
        <v>84879</v>
      </c>
      <c r="G22" s="7">
        <v>0.47599999999999998</v>
      </c>
      <c r="H22" s="7">
        <v>0.52400000000000002</v>
      </c>
      <c r="I22" s="8">
        <v>-4.0000000000000001E-3</v>
      </c>
    </row>
    <row r="23" spans="1:9" x14ac:dyDescent="0.25">
      <c r="A23" s="12" t="s">
        <v>11</v>
      </c>
      <c r="B23" s="5">
        <v>2028</v>
      </c>
      <c r="C23" s="5" t="s">
        <v>36</v>
      </c>
      <c r="D23" s="9">
        <v>40276</v>
      </c>
      <c r="E23" s="9">
        <v>44251</v>
      </c>
      <c r="F23" s="9">
        <v>84527</v>
      </c>
      <c r="G23" s="7">
        <v>0.47599999999999998</v>
      </c>
      <c r="H23" s="7">
        <v>0.52400000000000002</v>
      </c>
      <c r="I23" s="8">
        <v>-4.0000000000000001E-3</v>
      </c>
    </row>
    <row r="24" spans="1:9" x14ac:dyDescent="0.25">
      <c r="A24" s="12" t="s">
        <v>11</v>
      </c>
      <c r="B24" s="5">
        <v>2029</v>
      </c>
      <c r="C24" s="5" t="s">
        <v>36</v>
      </c>
      <c r="D24" s="9">
        <v>40109</v>
      </c>
      <c r="E24" s="9">
        <v>44067</v>
      </c>
      <c r="F24" s="9">
        <v>84176</v>
      </c>
      <c r="G24" s="7">
        <v>0.47599999999999998</v>
      </c>
      <c r="H24" s="7">
        <v>0.52400000000000002</v>
      </c>
      <c r="I24" s="8">
        <v>-4.0000000000000001E-3</v>
      </c>
    </row>
    <row r="25" spans="1:9" x14ac:dyDescent="0.25">
      <c r="A25" s="12" t="s">
        <v>11</v>
      </c>
      <c r="B25" s="5">
        <v>2030</v>
      </c>
      <c r="C25" s="5" t="s">
        <v>36</v>
      </c>
      <c r="D25" s="9">
        <v>39942</v>
      </c>
      <c r="E25" s="9">
        <v>43884</v>
      </c>
      <c r="F25" s="9">
        <v>83826</v>
      </c>
      <c r="G25" s="7">
        <v>0.47599999999999998</v>
      </c>
      <c r="H25" s="7">
        <v>0.52400000000000002</v>
      </c>
      <c r="I25" s="8">
        <v>-4.0000000000000001E-3</v>
      </c>
    </row>
    <row r="26" spans="1:9" x14ac:dyDescent="0.25">
      <c r="A26" s="12" t="s">
        <v>11</v>
      </c>
      <c r="B26" s="5">
        <v>2031</v>
      </c>
      <c r="C26" s="5" t="s">
        <v>36</v>
      </c>
      <c r="D26" s="9">
        <v>39776</v>
      </c>
      <c r="E26" s="9">
        <v>43702</v>
      </c>
      <c r="F26" s="9">
        <v>83478</v>
      </c>
      <c r="G26" s="7">
        <v>0.47599999999999998</v>
      </c>
      <c r="H26" s="7">
        <v>0.52400000000000002</v>
      </c>
      <c r="I26" s="8">
        <v>-4.0000000000000001E-3</v>
      </c>
    </row>
    <row r="27" spans="1:9" x14ac:dyDescent="0.25">
      <c r="A27" s="13" t="s">
        <v>37</v>
      </c>
      <c r="B27" s="5">
        <v>2026</v>
      </c>
      <c r="C27" s="5" t="s">
        <v>36</v>
      </c>
      <c r="D27" s="9">
        <v>9310</v>
      </c>
      <c r="E27" s="9">
        <v>10162</v>
      </c>
      <c r="F27" s="9">
        <v>19472</v>
      </c>
      <c r="G27" s="7">
        <v>0.47799999999999998</v>
      </c>
      <c r="H27" s="7">
        <v>0.52200000000000002</v>
      </c>
      <c r="I27" s="8">
        <v>-0.02</v>
      </c>
    </row>
    <row r="28" spans="1:9" x14ac:dyDescent="0.25">
      <c r="A28" s="13" t="s">
        <v>37</v>
      </c>
      <c r="B28" s="5">
        <v>2027</v>
      </c>
      <c r="C28" s="5" t="s">
        <v>36</v>
      </c>
      <c r="D28" s="9">
        <v>9125</v>
      </c>
      <c r="E28" s="9">
        <v>9960</v>
      </c>
      <c r="F28" s="9">
        <v>19085</v>
      </c>
      <c r="G28" s="7">
        <v>0.47799999999999998</v>
      </c>
      <c r="H28" s="7">
        <v>0.52200000000000002</v>
      </c>
      <c r="I28" s="8">
        <v>-0.02</v>
      </c>
    </row>
    <row r="29" spans="1:9" x14ac:dyDescent="0.25">
      <c r="A29" s="13" t="s">
        <v>37</v>
      </c>
      <c r="B29" s="5">
        <v>2028</v>
      </c>
      <c r="C29" s="5" t="s">
        <v>36</v>
      </c>
      <c r="D29" s="9">
        <v>8944</v>
      </c>
      <c r="E29" s="9">
        <v>9762</v>
      </c>
      <c r="F29" s="9">
        <v>18706</v>
      </c>
      <c r="G29" s="7">
        <v>0.47799999999999998</v>
      </c>
      <c r="H29" s="7">
        <v>0.52200000000000002</v>
      </c>
      <c r="I29" s="8">
        <v>-0.02</v>
      </c>
    </row>
    <row r="30" spans="1:9" x14ac:dyDescent="0.25">
      <c r="A30" s="13" t="s">
        <v>37</v>
      </c>
      <c r="B30" s="5">
        <v>2029</v>
      </c>
      <c r="C30" s="5" t="s">
        <v>36</v>
      </c>
      <c r="D30" s="9">
        <v>8766</v>
      </c>
      <c r="E30" s="9">
        <v>9568</v>
      </c>
      <c r="F30" s="9">
        <v>18334</v>
      </c>
      <c r="G30" s="7">
        <v>0.47799999999999998</v>
      </c>
      <c r="H30" s="7">
        <v>0.52200000000000002</v>
      </c>
      <c r="I30" s="8">
        <v>-0.02</v>
      </c>
    </row>
    <row r="31" spans="1:9" x14ac:dyDescent="0.25">
      <c r="A31" s="13" t="s">
        <v>37</v>
      </c>
      <c r="B31" s="5">
        <v>2030</v>
      </c>
      <c r="C31" s="5" t="s">
        <v>36</v>
      </c>
      <c r="D31" s="9">
        <v>8592</v>
      </c>
      <c r="E31" s="9">
        <v>9378</v>
      </c>
      <c r="F31" s="9">
        <v>17970</v>
      </c>
      <c r="G31" s="7">
        <v>0.47799999999999998</v>
      </c>
      <c r="H31" s="7">
        <v>0.52200000000000002</v>
      </c>
      <c r="I31" s="8">
        <v>-0.02</v>
      </c>
    </row>
    <row r="32" spans="1:9" x14ac:dyDescent="0.25">
      <c r="A32" s="13" t="s">
        <v>37</v>
      </c>
      <c r="B32" s="5">
        <v>2031</v>
      </c>
      <c r="C32" s="5" t="s">
        <v>36</v>
      </c>
      <c r="D32" s="9">
        <v>8421</v>
      </c>
      <c r="E32" s="9">
        <v>9192</v>
      </c>
      <c r="F32" s="9">
        <v>17613</v>
      </c>
      <c r="G32" s="7">
        <v>0.47799999999999998</v>
      </c>
      <c r="H32" s="7">
        <v>0.52200000000000002</v>
      </c>
      <c r="I32" s="8">
        <v>-0.02</v>
      </c>
    </row>
    <row r="33" spans="1:9" x14ac:dyDescent="0.25">
      <c r="A33" s="14" t="s">
        <v>10</v>
      </c>
      <c r="B33" s="5">
        <v>2026</v>
      </c>
      <c r="C33" s="5" t="s">
        <v>36</v>
      </c>
      <c r="D33" s="9">
        <v>39489</v>
      </c>
      <c r="E33" s="9">
        <v>42406</v>
      </c>
      <c r="F33" s="9">
        <v>81895</v>
      </c>
      <c r="G33" s="7">
        <v>0.48199999999999998</v>
      </c>
      <c r="H33" s="7">
        <v>0.51800000000000002</v>
      </c>
      <c r="I33" s="8">
        <v>-1.4E-2</v>
      </c>
    </row>
    <row r="34" spans="1:9" x14ac:dyDescent="0.25">
      <c r="A34" s="14" t="s">
        <v>10</v>
      </c>
      <c r="B34" s="5">
        <v>2027</v>
      </c>
      <c r="C34" s="5" t="s">
        <v>36</v>
      </c>
      <c r="D34" s="9">
        <v>38918</v>
      </c>
      <c r="E34" s="9">
        <v>41793</v>
      </c>
      <c r="F34" s="9">
        <v>80711</v>
      </c>
      <c r="G34" s="7">
        <v>0.48199999999999998</v>
      </c>
      <c r="H34" s="7">
        <v>0.51800000000000002</v>
      </c>
      <c r="I34" s="8">
        <v>-1.4E-2</v>
      </c>
    </row>
    <row r="35" spans="1:9" x14ac:dyDescent="0.25">
      <c r="A35" s="14" t="s">
        <v>10</v>
      </c>
      <c r="B35" s="5">
        <v>2028</v>
      </c>
      <c r="C35" s="5" t="s">
        <v>36</v>
      </c>
      <c r="D35" s="9">
        <v>38356</v>
      </c>
      <c r="E35" s="9">
        <v>41189</v>
      </c>
      <c r="F35" s="9">
        <v>79545</v>
      </c>
      <c r="G35" s="7">
        <v>0.48199999999999998</v>
      </c>
      <c r="H35" s="7">
        <v>0.51800000000000002</v>
      </c>
      <c r="I35" s="8">
        <v>-1.4E-2</v>
      </c>
    </row>
    <row r="36" spans="1:9" x14ac:dyDescent="0.25">
      <c r="A36" s="14" t="s">
        <v>10</v>
      </c>
      <c r="B36" s="5">
        <v>2029</v>
      </c>
      <c r="C36" s="5" t="s">
        <v>36</v>
      </c>
      <c r="D36" s="9">
        <v>37802</v>
      </c>
      <c r="E36" s="9">
        <v>40594</v>
      </c>
      <c r="F36" s="9">
        <v>78396</v>
      </c>
      <c r="G36" s="7">
        <v>0.48199999999999998</v>
      </c>
      <c r="H36" s="7">
        <v>0.51800000000000002</v>
      </c>
      <c r="I36" s="8">
        <v>-1.4E-2</v>
      </c>
    </row>
    <row r="37" spans="1:9" x14ac:dyDescent="0.25">
      <c r="A37" s="14" t="s">
        <v>10</v>
      </c>
      <c r="B37" s="5">
        <v>2030</v>
      </c>
      <c r="C37" s="5" t="s">
        <v>36</v>
      </c>
      <c r="D37" s="9">
        <v>37256</v>
      </c>
      <c r="E37" s="9">
        <v>40007</v>
      </c>
      <c r="F37" s="9">
        <v>77263</v>
      </c>
      <c r="G37" s="7">
        <v>0.48199999999999998</v>
      </c>
      <c r="H37" s="7">
        <v>0.51800000000000002</v>
      </c>
      <c r="I37" s="8">
        <v>-1.4E-2</v>
      </c>
    </row>
    <row r="38" spans="1:9" x14ac:dyDescent="0.25">
      <c r="A38" s="14" t="s">
        <v>10</v>
      </c>
      <c r="B38" s="5">
        <v>2031</v>
      </c>
      <c r="C38" s="5" t="s">
        <v>36</v>
      </c>
      <c r="D38" s="9">
        <v>36718</v>
      </c>
      <c r="E38" s="9">
        <v>39429</v>
      </c>
      <c r="F38" s="9">
        <v>76147</v>
      </c>
      <c r="G38" s="7">
        <v>0.48199999999999998</v>
      </c>
      <c r="H38" s="7">
        <v>0.51800000000000002</v>
      </c>
      <c r="I38" s="8">
        <v>-1.4E-2</v>
      </c>
    </row>
    <row r="39" spans="1:9" x14ac:dyDescent="0.25">
      <c r="A39" s="15" t="s">
        <v>15</v>
      </c>
      <c r="B39" s="5">
        <v>2026</v>
      </c>
      <c r="C39" s="5" t="s">
        <v>36</v>
      </c>
      <c r="D39" s="9">
        <v>19581</v>
      </c>
      <c r="E39" s="9">
        <v>15924</v>
      </c>
      <c r="F39" s="9">
        <v>35505</v>
      </c>
      <c r="G39" s="7">
        <v>0.55100000000000005</v>
      </c>
      <c r="H39" s="7">
        <v>0.44900000000000001</v>
      </c>
      <c r="I39" s="8">
        <v>-1.4999999999999999E-2</v>
      </c>
    </row>
    <row r="40" spans="1:9" x14ac:dyDescent="0.25">
      <c r="A40" s="15" t="s">
        <v>15</v>
      </c>
      <c r="B40" s="5">
        <v>2027</v>
      </c>
      <c r="C40" s="5" t="s">
        <v>36</v>
      </c>
      <c r="D40" s="9">
        <v>19283</v>
      </c>
      <c r="E40" s="9">
        <v>15682</v>
      </c>
      <c r="F40" s="9">
        <v>34965</v>
      </c>
      <c r="G40" s="7">
        <v>0.55100000000000005</v>
      </c>
      <c r="H40" s="7">
        <v>0.44900000000000001</v>
      </c>
      <c r="I40" s="8">
        <v>-1.4999999999999999E-2</v>
      </c>
    </row>
    <row r="41" spans="1:9" x14ac:dyDescent="0.25">
      <c r="A41" s="15" t="s">
        <v>15</v>
      </c>
      <c r="B41" s="5">
        <v>2028</v>
      </c>
      <c r="C41" s="5" t="s">
        <v>36</v>
      </c>
      <c r="D41" s="9">
        <v>18990</v>
      </c>
      <c r="E41" s="9">
        <v>15444</v>
      </c>
      <c r="F41" s="9">
        <v>34434</v>
      </c>
      <c r="G41" s="7">
        <v>0.55100000000000005</v>
      </c>
      <c r="H41" s="7">
        <v>0.44900000000000001</v>
      </c>
      <c r="I41" s="8">
        <v>-1.4999999999999999E-2</v>
      </c>
    </row>
    <row r="42" spans="1:9" x14ac:dyDescent="0.25">
      <c r="A42" s="15" t="s">
        <v>15</v>
      </c>
      <c r="B42" s="5">
        <v>2029</v>
      </c>
      <c r="C42" s="5" t="s">
        <v>36</v>
      </c>
      <c r="D42" s="9">
        <v>18701</v>
      </c>
      <c r="E42" s="9">
        <v>15209</v>
      </c>
      <c r="F42" s="9">
        <v>33910</v>
      </c>
      <c r="G42" s="7">
        <v>0.55100000000000005</v>
      </c>
      <c r="H42" s="7">
        <v>0.44900000000000001</v>
      </c>
      <c r="I42" s="8">
        <v>-1.4999999999999999E-2</v>
      </c>
    </row>
    <row r="43" spans="1:9" x14ac:dyDescent="0.25">
      <c r="A43" s="15" t="s">
        <v>15</v>
      </c>
      <c r="B43" s="5">
        <v>2030</v>
      </c>
      <c r="C43" s="5" t="s">
        <v>36</v>
      </c>
      <c r="D43" s="9">
        <v>18417</v>
      </c>
      <c r="E43" s="9">
        <v>14978</v>
      </c>
      <c r="F43" s="9">
        <v>33395</v>
      </c>
      <c r="G43" s="7">
        <v>0.55100000000000005</v>
      </c>
      <c r="H43" s="7">
        <v>0.44900000000000001</v>
      </c>
      <c r="I43" s="8">
        <v>-1.4999999999999999E-2</v>
      </c>
    </row>
    <row r="44" spans="1:9" x14ac:dyDescent="0.25">
      <c r="A44" s="15" t="s">
        <v>15</v>
      </c>
      <c r="B44" s="5">
        <v>2031</v>
      </c>
      <c r="C44" s="5" t="s">
        <v>36</v>
      </c>
      <c r="D44" s="9">
        <v>18137</v>
      </c>
      <c r="E44" s="9">
        <v>14750</v>
      </c>
      <c r="F44" s="9">
        <v>32887</v>
      </c>
      <c r="G44" s="7">
        <v>0.55100000000000005</v>
      </c>
      <c r="H44" s="7">
        <v>0.44900000000000001</v>
      </c>
      <c r="I44" s="8">
        <v>-1.4999999999999999E-2</v>
      </c>
    </row>
    <row r="45" spans="1:9" x14ac:dyDescent="0.25">
      <c r="A45" s="16" t="s">
        <v>13</v>
      </c>
      <c r="B45" s="5">
        <v>2026</v>
      </c>
      <c r="C45" s="5" t="s">
        <v>36</v>
      </c>
      <c r="D45" s="9">
        <v>29140</v>
      </c>
      <c r="E45" s="9">
        <v>30423</v>
      </c>
      <c r="F45" s="9">
        <v>59563</v>
      </c>
      <c r="G45" s="7">
        <v>0.48899999999999999</v>
      </c>
      <c r="H45" s="7">
        <v>0.51100000000000001</v>
      </c>
      <c r="I45" s="8">
        <v>5.0000000000000001E-3</v>
      </c>
    </row>
    <row r="46" spans="1:9" x14ac:dyDescent="0.25">
      <c r="A46" s="16" t="s">
        <v>13</v>
      </c>
      <c r="B46" s="5">
        <v>2027</v>
      </c>
      <c r="C46" s="5" t="s">
        <v>36</v>
      </c>
      <c r="D46" s="9">
        <v>29291</v>
      </c>
      <c r="E46" s="9">
        <v>30580</v>
      </c>
      <c r="F46" s="9">
        <v>59871</v>
      </c>
      <c r="G46" s="7">
        <v>0.48899999999999999</v>
      </c>
      <c r="H46" s="7">
        <v>0.51100000000000001</v>
      </c>
      <c r="I46" s="8">
        <v>5.0000000000000001E-3</v>
      </c>
    </row>
    <row r="47" spans="1:9" x14ac:dyDescent="0.25">
      <c r="A47" s="16" t="s">
        <v>13</v>
      </c>
      <c r="B47" s="5">
        <v>2028</v>
      </c>
      <c r="C47" s="5" t="s">
        <v>36</v>
      </c>
      <c r="D47" s="9">
        <v>29443</v>
      </c>
      <c r="E47" s="9">
        <v>30738</v>
      </c>
      <c r="F47" s="9">
        <v>60181</v>
      </c>
      <c r="G47" s="7">
        <v>0.48899999999999999</v>
      </c>
      <c r="H47" s="7">
        <v>0.51100000000000001</v>
      </c>
      <c r="I47" s="8">
        <v>5.0000000000000001E-3</v>
      </c>
    </row>
    <row r="48" spans="1:9" x14ac:dyDescent="0.25">
      <c r="A48" s="16" t="s">
        <v>13</v>
      </c>
      <c r="B48" s="5">
        <v>2029</v>
      </c>
      <c r="C48" s="5" t="s">
        <v>36</v>
      </c>
      <c r="D48" s="9">
        <v>29595</v>
      </c>
      <c r="E48" s="9">
        <v>30897</v>
      </c>
      <c r="F48" s="9">
        <v>60492</v>
      </c>
      <c r="G48" s="7">
        <v>0.48899999999999999</v>
      </c>
      <c r="H48" s="7">
        <v>0.51100000000000001</v>
      </c>
      <c r="I48" s="8">
        <v>5.0000000000000001E-3</v>
      </c>
    </row>
    <row r="49" spans="1:9" x14ac:dyDescent="0.25">
      <c r="A49" s="16" t="s">
        <v>13</v>
      </c>
      <c r="B49" s="5">
        <v>2030</v>
      </c>
      <c r="C49" s="5" t="s">
        <v>36</v>
      </c>
      <c r="D49" s="9">
        <v>29748</v>
      </c>
      <c r="E49" s="9">
        <v>31057</v>
      </c>
      <c r="F49" s="9">
        <v>60805</v>
      </c>
      <c r="G49" s="7">
        <v>0.48899999999999999</v>
      </c>
      <c r="H49" s="7">
        <v>0.51100000000000001</v>
      </c>
      <c r="I49" s="8">
        <v>5.0000000000000001E-3</v>
      </c>
    </row>
    <row r="50" spans="1:9" x14ac:dyDescent="0.25">
      <c r="A50" s="16" t="s">
        <v>13</v>
      </c>
      <c r="B50" s="5">
        <v>2031</v>
      </c>
      <c r="C50" s="5" t="s">
        <v>36</v>
      </c>
      <c r="D50" s="9">
        <v>29902</v>
      </c>
      <c r="E50" s="9">
        <v>31218</v>
      </c>
      <c r="F50" s="9">
        <v>61120</v>
      </c>
      <c r="G50" s="7">
        <v>0.48899999999999999</v>
      </c>
      <c r="H50" s="7">
        <v>0.51100000000000001</v>
      </c>
      <c r="I50" s="8">
        <v>5.0000000000000001E-3</v>
      </c>
    </row>
    <row r="51" spans="1:9" x14ac:dyDescent="0.25">
      <c r="A51" s="17" t="s">
        <v>12</v>
      </c>
      <c r="B51" s="5">
        <v>2026</v>
      </c>
      <c r="C51" s="5" t="s">
        <v>36</v>
      </c>
      <c r="D51" s="9">
        <v>37076</v>
      </c>
      <c r="E51" s="9">
        <v>38523</v>
      </c>
      <c r="F51" s="9">
        <v>75599</v>
      </c>
      <c r="G51" s="7">
        <v>0.49</v>
      </c>
      <c r="H51" s="7">
        <v>0.51</v>
      </c>
      <c r="I51" s="18">
        <v>-1.6E-2</v>
      </c>
    </row>
    <row r="52" spans="1:9" x14ac:dyDescent="0.25">
      <c r="A52" s="17" t="s">
        <v>12</v>
      </c>
      <c r="B52" s="5">
        <v>2027</v>
      </c>
      <c r="C52" s="5" t="s">
        <v>36</v>
      </c>
      <c r="D52" s="9">
        <v>36501</v>
      </c>
      <c r="E52" s="9">
        <v>37925</v>
      </c>
      <c r="F52" s="9">
        <v>74426</v>
      </c>
      <c r="G52" s="7">
        <v>0.49</v>
      </c>
      <c r="H52" s="7">
        <v>0.51</v>
      </c>
      <c r="I52" s="18">
        <v>-1.6E-2</v>
      </c>
    </row>
    <row r="53" spans="1:9" x14ac:dyDescent="0.25">
      <c r="A53" s="17" t="s">
        <v>12</v>
      </c>
      <c r="B53" s="5">
        <v>2028</v>
      </c>
      <c r="C53" s="5" t="s">
        <v>36</v>
      </c>
      <c r="D53" s="9">
        <v>35935</v>
      </c>
      <c r="E53" s="9">
        <v>37337</v>
      </c>
      <c r="F53" s="9">
        <v>73272</v>
      </c>
      <c r="G53" s="7">
        <v>0.49</v>
      </c>
      <c r="H53" s="7">
        <v>0.51</v>
      </c>
      <c r="I53" s="18">
        <v>-1.6E-2</v>
      </c>
    </row>
    <row r="54" spans="1:9" x14ac:dyDescent="0.25">
      <c r="A54" s="17" t="s">
        <v>12</v>
      </c>
      <c r="B54" s="5">
        <v>2029</v>
      </c>
      <c r="C54" s="5" t="s">
        <v>36</v>
      </c>
      <c r="D54" s="9">
        <v>35377</v>
      </c>
      <c r="E54" s="9">
        <v>36758</v>
      </c>
      <c r="F54" s="9">
        <v>72135</v>
      </c>
      <c r="G54" s="7">
        <v>0.49</v>
      </c>
      <c r="H54" s="7">
        <v>0.51</v>
      </c>
      <c r="I54" s="18">
        <v>-1.6E-2</v>
      </c>
    </row>
    <row r="55" spans="1:9" x14ac:dyDescent="0.25">
      <c r="A55" s="17" t="s">
        <v>12</v>
      </c>
      <c r="B55" s="5">
        <v>2030</v>
      </c>
      <c r="C55" s="5" t="s">
        <v>36</v>
      </c>
      <c r="D55" s="9">
        <v>34828</v>
      </c>
      <c r="E55" s="9">
        <v>36188</v>
      </c>
      <c r="F55" s="9">
        <v>71016</v>
      </c>
      <c r="G55" s="7">
        <v>0.49</v>
      </c>
      <c r="H55" s="7">
        <v>0.51</v>
      </c>
      <c r="I55" s="18">
        <v>-1.6E-2</v>
      </c>
    </row>
    <row r="56" spans="1:9" x14ac:dyDescent="0.25">
      <c r="A56" s="17" t="s">
        <v>12</v>
      </c>
      <c r="B56" s="5">
        <v>2031</v>
      </c>
      <c r="C56" s="5" t="s">
        <v>36</v>
      </c>
      <c r="D56" s="9">
        <v>34288</v>
      </c>
      <c r="E56" s="9">
        <v>35627</v>
      </c>
      <c r="F56" s="9">
        <v>69915</v>
      </c>
      <c r="G56" s="7">
        <v>0.49</v>
      </c>
      <c r="H56" s="7">
        <v>0.51</v>
      </c>
      <c r="I56" s="18">
        <v>-1.6E-2</v>
      </c>
    </row>
  </sheetData>
  <autoFilter ref="A2:I56" xr:uid="{00000000-0001-0000-0100-000000000000}"/>
  <mergeCells count="1">
    <mergeCell ref="A1:I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theme="9" tint="0.59999389629810485"/>
  </sheetPr>
  <dimension ref="A1:H30"/>
  <sheetViews>
    <sheetView zoomScaleNormal="100" workbookViewId="0">
      <selection activeCell="I6" sqref="I6"/>
    </sheetView>
  </sheetViews>
  <sheetFormatPr baseColWidth="10" defaultColWidth="8.7109375" defaultRowHeight="15" x14ac:dyDescent="0.25"/>
  <cols>
    <col min="1" max="1" width="20" style="2" customWidth="1"/>
    <col min="2" max="8" width="12" style="2" customWidth="1"/>
    <col min="9" max="9" width="8.7109375" style="2" customWidth="1"/>
    <col min="10" max="16384" width="8.7109375" style="2"/>
  </cols>
  <sheetData>
    <row r="1" spans="1:8" ht="21.75" customHeight="1" x14ac:dyDescent="0.25">
      <c r="A1" s="92" t="s">
        <v>38</v>
      </c>
      <c r="B1" s="92"/>
      <c r="C1" s="92"/>
      <c r="D1" s="92"/>
      <c r="E1" s="92"/>
      <c r="F1" s="92"/>
      <c r="G1" s="92"/>
      <c r="H1" s="92"/>
    </row>
    <row r="2" spans="1:8" ht="15" customHeight="1" x14ac:dyDescent="0.25">
      <c r="A2" s="90" t="s">
        <v>1</v>
      </c>
      <c r="B2" s="90" t="s">
        <v>39</v>
      </c>
      <c r="C2" s="3" t="s">
        <v>41</v>
      </c>
      <c r="D2" s="3" t="s">
        <v>42</v>
      </c>
      <c r="E2" s="3" t="s">
        <v>43</v>
      </c>
      <c r="F2" s="3" t="s">
        <v>44</v>
      </c>
      <c r="G2" s="3" t="s">
        <v>45</v>
      </c>
      <c r="H2" s="3" t="s">
        <v>46</v>
      </c>
    </row>
    <row r="3" spans="1:8" x14ac:dyDescent="0.25">
      <c r="A3" s="91"/>
      <c r="B3" s="91"/>
      <c r="C3" s="47" t="s">
        <v>47</v>
      </c>
      <c r="D3" s="47" t="s">
        <v>47</v>
      </c>
      <c r="E3" s="47" t="s">
        <v>47</v>
      </c>
      <c r="F3" s="47" t="s">
        <v>47</v>
      </c>
      <c r="G3" s="47" t="s">
        <v>47</v>
      </c>
      <c r="H3" s="47" t="s">
        <v>47</v>
      </c>
    </row>
    <row r="4" spans="1:8" x14ac:dyDescent="0.25">
      <c r="A4" s="4" t="s">
        <v>35</v>
      </c>
      <c r="B4" s="48" t="s">
        <v>48</v>
      </c>
      <c r="C4" s="9">
        <v>432453</v>
      </c>
      <c r="D4" s="9">
        <v>433174</v>
      </c>
      <c r="E4" s="9">
        <v>433896</v>
      </c>
      <c r="F4" s="9">
        <v>434619</v>
      </c>
      <c r="G4" s="9">
        <v>435342</v>
      </c>
      <c r="H4" s="9">
        <v>436068</v>
      </c>
    </row>
    <row r="5" spans="1:8" x14ac:dyDescent="0.25">
      <c r="A5" s="4"/>
      <c r="B5" s="49" t="s">
        <v>49</v>
      </c>
      <c r="C5" s="9">
        <v>471549</v>
      </c>
      <c r="D5" s="9">
        <v>472334</v>
      </c>
      <c r="E5" s="9">
        <v>473121</v>
      </c>
      <c r="F5" s="9">
        <v>473909</v>
      </c>
      <c r="G5" s="9">
        <v>474700</v>
      </c>
      <c r="H5" s="9">
        <v>475491</v>
      </c>
    </row>
    <row r="6" spans="1:8" x14ac:dyDescent="0.25">
      <c r="A6" s="4"/>
      <c r="B6" s="50" t="s">
        <v>50</v>
      </c>
      <c r="C6" s="9">
        <v>904002</v>
      </c>
      <c r="D6" s="9">
        <v>905508</v>
      </c>
      <c r="E6" s="9">
        <v>907017</v>
      </c>
      <c r="F6" s="9">
        <v>908528</v>
      </c>
      <c r="G6" s="9">
        <v>910042</v>
      </c>
      <c r="H6" s="9">
        <v>911559</v>
      </c>
    </row>
    <row r="7" spans="1:8" x14ac:dyDescent="0.25">
      <c r="A7" s="10" t="s">
        <v>9</v>
      </c>
      <c r="B7" s="48" t="s">
        <v>48</v>
      </c>
      <c r="C7" s="9">
        <v>261358</v>
      </c>
      <c r="D7" s="9">
        <v>261793</v>
      </c>
      <c r="E7" s="9">
        <v>262229</v>
      </c>
      <c r="F7" s="9">
        <v>262666</v>
      </c>
      <c r="G7" s="9">
        <v>263103</v>
      </c>
      <c r="H7" s="9">
        <v>263541</v>
      </c>
    </row>
    <row r="8" spans="1:8" x14ac:dyDescent="0.25">
      <c r="A8" s="10"/>
      <c r="B8" s="49" t="s">
        <v>49</v>
      </c>
      <c r="C8" s="9">
        <v>292490</v>
      </c>
      <c r="D8" s="9">
        <v>292977</v>
      </c>
      <c r="E8" s="9">
        <v>293465</v>
      </c>
      <c r="F8" s="9">
        <v>293954</v>
      </c>
      <c r="G8" s="9">
        <v>294444</v>
      </c>
      <c r="H8" s="9">
        <v>294934</v>
      </c>
    </row>
    <row r="9" spans="1:8" x14ac:dyDescent="0.25">
      <c r="A9" s="10"/>
      <c r="B9" s="50" t="s">
        <v>50</v>
      </c>
      <c r="C9" s="9">
        <v>553848</v>
      </c>
      <c r="D9" s="9">
        <v>554770</v>
      </c>
      <c r="E9" s="9">
        <v>555694</v>
      </c>
      <c r="F9" s="9">
        <v>556620</v>
      </c>
      <c r="G9" s="9">
        <v>557547</v>
      </c>
      <c r="H9" s="9">
        <v>558475</v>
      </c>
    </row>
    <row r="10" spans="1:8" x14ac:dyDescent="0.25">
      <c r="A10" s="11" t="s">
        <v>14</v>
      </c>
      <c r="B10" s="48" t="s">
        <v>48</v>
      </c>
      <c r="C10" s="9">
        <v>26822</v>
      </c>
      <c r="D10" s="9">
        <v>26867</v>
      </c>
      <c r="E10" s="9">
        <v>26912</v>
      </c>
      <c r="F10" s="9">
        <v>26957</v>
      </c>
      <c r="G10" s="9">
        <v>27002</v>
      </c>
      <c r="H10" s="9">
        <v>27047</v>
      </c>
    </row>
    <row r="11" spans="1:8" x14ac:dyDescent="0.25">
      <c r="A11" s="11"/>
      <c r="B11" s="49" t="s">
        <v>49</v>
      </c>
      <c r="C11" s="9">
        <v>29608</v>
      </c>
      <c r="D11" s="9">
        <v>29657</v>
      </c>
      <c r="E11" s="9">
        <v>29706</v>
      </c>
      <c r="F11" s="9">
        <v>29755</v>
      </c>
      <c r="G11" s="9">
        <v>29805</v>
      </c>
      <c r="H11" s="9">
        <v>29855</v>
      </c>
    </row>
    <row r="12" spans="1:8" x14ac:dyDescent="0.25">
      <c r="A12" s="11"/>
      <c r="B12" s="50" t="s">
        <v>50</v>
      </c>
      <c r="C12" s="9">
        <v>56430</v>
      </c>
      <c r="D12" s="9">
        <v>56524</v>
      </c>
      <c r="E12" s="9">
        <v>56618</v>
      </c>
      <c r="F12" s="9">
        <v>56712</v>
      </c>
      <c r="G12" s="9">
        <v>56807</v>
      </c>
      <c r="H12" s="9">
        <v>56902</v>
      </c>
    </row>
    <row r="13" spans="1:8" x14ac:dyDescent="0.25">
      <c r="A13" s="12" t="s">
        <v>11</v>
      </c>
      <c r="B13" s="48" t="s">
        <v>48</v>
      </c>
      <c r="C13" s="9">
        <v>40270</v>
      </c>
      <c r="D13" s="9">
        <v>40337</v>
      </c>
      <c r="E13" s="9">
        <v>40404</v>
      </c>
      <c r="F13" s="9">
        <v>40471</v>
      </c>
      <c r="G13" s="9">
        <v>40538</v>
      </c>
      <c r="H13" s="9">
        <v>40606</v>
      </c>
    </row>
    <row r="14" spans="1:8" x14ac:dyDescent="0.25">
      <c r="A14" s="12"/>
      <c r="B14" s="49" t="s">
        <v>49</v>
      </c>
      <c r="C14" s="9">
        <v>44244</v>
      </c>
      <c r="D14" s="9">
        <v>44318</v>
      </c>
      <c r="E14" s="9">
        <v>44392</v>
      </c>
      <c r="F14" s="9">
        <v>44466</v>
      </c>
      <c r="G14" s="9">
        <v>44540</v>
      </c>
      <c r="H14" s="9">
        <v>44614</v>
      </c>
    </row>
    <row r="15" spans="1:8" x14ac:dyDescent="0.25">
      <c r="A15" s="12"/>
      <c r="B15" s="50" t="s">
        <v>50</v>
      </c>
      <c r="C15" s="9">
        <v>84514</v>
      </c>
      <c r="D15" s="9">
        <v>84655</v>
      </c>
      <c r="E15" s="9">
        <v>84796</v>
      </c>
      <c r="F15" s="9">
        <v>84937</v>
      </c>
      <c r="G15" s="9">
        <v>85078</v>
      </c>
      <c r="H15" s="9">
        <v>85220</v>
      </c>
    </row>
    <row r="16" spans="1:8" x14ac:dyDescent="0.25">
      <c r="A16" s="13" t="s">
        <v>37</v>
      </c>
      <c r="B16" s="48" t="s">
        <v>48</v>
      </c>
      <c r="C16" s="9">
        <v>11227</v>
      </c>
      <c r="D16" s="9">
        <v>11246</v>
      </c>
      <c r="E16" s="9">
        <v>11265</v>
      </c>
      <c r="F16" s="9">
        <v>11284</v>
      </c>
      <c r="G16" s="9">
        <v>11303</v>
      </c>
      <c r="H16" s="9">
        <v>11322</v>
      </c>
    </row>
    <row r="17" spans="1:8" x14ac:dyDescent="0.25">
      <c r="A17" s="13"/>
      <c r="B17" s="49" t="s">
        <v>49</v>
      </c>
      <c r="C17" s="9">
        <v>12255</v>
      </c>
      <c r="D17" s="9">
        <v>12275</v>
      </c>
      <c r="E17" s="9">
        <v>12295</v>
      </c>
      <c r="F17" s="9">
        <v>12315</v>
      </c>
      <c r="G17" s="9">
        <v>12336</v>
      </c>
      <c r="H17" s="9">
        <v>12357</v>
      </c>
    </row>
    <row r="18" spans="1:8" x14ac:dyDescent="0.25">
      <c r="A18" s="13"/>
      <c r="B18" s="50" t="s">
        <v>50</v>
      </c>
      <c r="C18" s="9">
        <v>23482</v>
      </c>
      <c r="D18" s="9">
        <v>23521</v>
      </c>
      <c r="E18" s="9">
        <v>23560</v>
      </c>
      <c r="F18" s="9">
        <v>23599</v>
      </c>
      <c r="G18" s="9">
        <v>23639</v>
      </c>
      <c r="H18" s="9">
        <v>23679</v>
      </c>
    </row>
    <row r="19" spans="1:8" x14ac:dyDescent="0.25">
      <c r="A19" s="14" t="s">
        <v>10</v>
      </c>
      <c r="B19" s="48" t="s">
        <v>48</v>
      </c>
      <c r="C19" s="9">
        <v>43851</v>
      </c>
      <c r="D19" s="9">
        <v>43924</v>
      </c>
      <c r="E19" s="9">
        <v>43997</v>
      </c>
      <c r="F19" s="9">
        <v>44070</v>
      </c>
      <c r="G19" s="9">
        <v>44143</v>
      </c>
      <c r="H19" s="9">
        <v>44217</v>
      </c>
    </row>
    <row r="20" spans="1:8" x14ac:dyDescent="0.25">
      <c r="A20" s="14"/>
      <c r="B20" s="49" t="s">
        <v>49</v>
      </c>
      <c r="C20" s="9">
        <v>47091</v>
      </c>
      <c r="D20" s="9">
        <v>47169</v>
      </c>
      <c r="E20" s="9">
        <v>47248</v>
      </c>
      <c r="F20" s="9">
        <v>47327</v>
      </c>
      <c r="G20" s="9">
        <v>47406</v>
      </c>
      <c r="H20" s="9">
        <v>47485</v>
      </c>
    </row>
    <row r="21" spans="1:8" x14ac:dyDescent="0.25">
      <c r="A21" s="14"/>
      <c r="B21" s="50" t="s">
        <v>50</v>
      </c>
      <c r="C21" s="9">
        <v>90942</v>
      </c>
      <c r="D21" s="9">
        <v>91093</v>
      </c>
      <c r="E21" s="9">
        <v>91245</v>
      </c>
      <c r="F21" s="9">
        <v>91397</v>
      </c>
      <c r="G21" s="9">
        <v>91549</v>
      </c>
      <c r="H21" s="9">
        <v>91702</v>
      </c>
    </row>
    <row r="22" spans="1:8" x14ac:dyDescent="0.25">
      <c r="A22" s="15" t="s">
        <v>15</v>
      </c>
      <c r="B22" s="48" t="s">
        <v>48</v>
      </c>
      <c r="C22" s="9">
        <v>22611</v>
      </c>
      <c r="D22" s="9">
        <v>22649</v>
      </c>
      <c r="E22" s="9">
        <v>22687</v>
      </c>
      <c r="F22" s="9">
        <v>22725</v>
      </c>
      <c r="G22" s="9">
        <v>22763</v>
      </c>
      <c r="H22" s="9">
        <v>22801</v>
      </c>
    </row>
    <row r="23" spans="1:8" x14ac:dyDescent="0.25">
      <c r="A23" s="15"/>
      <c r="B23" s="49" t="s">
        <v>49</v>
      </c>
      <c r="C23" s="9">
        <v>18388</v>
      </c>
      <c r="D23" s="9">
        <v>18419</v>
      </c>
      <c r="E23" s="9">
        <v>18450</v>
      </c>
      <c r="F23" s="9">
        <v>18481</v>
      </c>
      <c r="G23" s="9">
        <v>18512</v>
      </c>
      <c r="H23" s="9">
        <v>18543</v>
      </c>
    </row>
    <row r="24" spans="1:8" x14ac:dyDescent="0.25">
      <c r="A24" s="15"/>
      <c r="B24" s="50" t="s">
        <v>50</v>
      </c>
      <c r="C24" s="9">
        <v>40999</v>
      </c>
      <c r="D24" s="9">
        <v>41068</v>
      </c>
      <c r="E24" s="9">
        <v>41137</v>
      </c>
      <c r="F24" s="9">
        <v>41206</v>
      </c>
      <c r="G24" s="9">
        <v>41275</v>
      </c>
      <c r="H24" s="9">
        <v>41344</v>
      </c>
    </row>
    <row r="25" spans="1:8" x14ac:dyDescent="0.25">
      <c r="A25" s="16" t="s">
        <v>13</v>
      </c>
      <c r="B25" s="48" t="s">
        <v>48</v>
      </c>
      <c r="C25" s="9">
        <v>26314</v>
      </c>
      <c r="D25" s="9">
        <v>26358</v>
      </c>
      <c r="E25" s="9">
        <v>26402</v>
      </c>
      <c r="F25" s="9">
        <v>26446</v>
      </c>
      <c r="G25" s="9">
        <v>26490</v>
      </c>
      <c r="H25" s="9">
        <v>26534</v>
      </c>
    </row>
    <row r="26" spans="1:8" x14ac:dyDescent="0.25">
      <c r="A26" s="16"/>
      <c r="B26" s="49" t="s">
        <v>49</v>
      </c>
      <c r="C26" s="9">
        <v>27473</v>
      </c>
      <c r="D26" s="9">
        <v>27519</v>
      </c>
      <c r="E26" s="9">
        <v>27565</v>
      </c>
      <c r="F26" s="9">
        <v>27611</v>
      </c>
      <c r="G26" s="9">
        <v>27657</v>
      </c>
      <c r="H26" s="9">
        <v>27703</v>
      </c>
    </row>
    <row r="27" spans="1:8" x14ac:dyDescent="0.25">
      <c r="A27" s="16"/>
      <c r="B27" s="50" t="s">
        <v>50</v>
      </c>
      <c r="C27" s="9">
        <v>53787</v>
      </c>
      <c r="D27" s="9">
        <v>53877</v>
      </c>
      <c r="E27" s="9">
        <v>53967</v>
      </c>
      <c r="F27" s="9">
        <v>54057</v>
      </c>
      <c r="G27" s="9">
        <v>54147</v>
      </c>
      <c r="H27" s="9">
        <v>54237</v>
      </c>
    </row>
    <row r="28" spans="1:8" x14ac:dyDescent="0.25">
      <c r="A28" s="17" t="s">
        <v>12</v>
      </c>
      <c r="B28" s="48" t="s">
        <v>48</v>
      </c>
      <c r="C28" s="9">
        <v>31347</v>
      </c>
      <c r="D28" s="9">
        <v>30516</v>
      </c>
      <c r="E28" s="9">
        <v>29707</v>
      </c>
      <c r="F28" s="9">
        <v>28919</v>
      </c>
      <c r="G28" s="9">
        <v>28152</v>
      </c>
      <c r="H28" s="9">
        <v>27406</v>
      </c>
    </row>
    <row r="29" spans="1:8" x14ac:dyDescent="0.25">
      <c r="A29" s="17"/>
      <c r="B29" s="49" t="s">
        <v>49</v>
      </c>
      <c r="C29" s="9">
        <v>32571</v>
      </c>
      <c r="D29" s="9">
        <v>31708</v>
      </c>
      <c r="E29" s="9">
        <v>30867</v>
      </c>
      <c r="F29" s="9">
        <v>30049</v>
      </c>
      <c r="G29" s="9">
        <v>29252</v>
      </c>
      <c r="H29" s="9">
        <v>28477</v>
      </c>
    </row>
    <row r="30" spans="1:8" x14ac:dyDescent="0.25">
      <c r="A30" s="17"/>
      <c r="B30" s="50" t="s">
        <v>50</v>
      </c>
      <c r="C30" s="9">
        <v>63918</v>
      </c>
      <c r="D30" s="9">
        <v>62224</v>
      </c>
      <c r="E30" s="9">
        <v>60574</v>
      </c>
      <c r="F30" s="9">
        <v>58968</v>
      </c>
      <c r="G30" s="9">
        <v>57404</v>
      </c>
      <c r="H30" s="9">
        <v>55883</v>
      </c>
    </row>
  </sheetData>
  <mergeCells count="3">
    <mergeCell ref="B2:B3"/>
    <mergeCell ref="A2:A3"/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theme="5" tint="0.59999389629810485"/>
  </sheetPr>
  <dimension ref="A1:N13"/>
  <sheetViews>
    <sheetView zoomScale="130" zoomScaleNormal="130" workbookViewId="0">
      <selection activeCell="E14" sqref="E14"/>
    </sheetView>
  </sheetViews>
  <sheetFormatPr baseColWidth="10" defaultColWidth="8.7109375" defaultRowHeight="15" x14ac:dyDescent="0.25"/>
  <cols>
    <col min="1" max="1" width="16" style="2" customWidth="1"/>
    <col min="2" max="9" width="13" style="2" customWidth="1"/>
    <col min="10" max="10" width="8.7109375" style="2" customWidth="1"/>
    <col min="11" max="16384" width="8.7109375" style="2"/>
  </cols>
  <sheetData>
    <row r="1" spans="1:14" ht="21.75" customHeight="1" x14ac:dyDescent="0.25">
      <c r="A1" s="93" t="s">
        <v>0</v>
      </c>
      <c r="B1" s="93"/>
      <c r="C1" s="93"/>
      <c r="D1" s="93"/>
      <c r="E1" s="93"/>
      <c r="F1" s="93"/>
      <c r="G1" s="93"/>
      <c r="H1" s="93"/>
      <c r="I1" s="93"/>
      <c r="J1" s="93"/>
    </row>
    <row r="2" spans="1:14" ht="24" customHeight="1" x14ac:dyDescent="0.25">
      <c r="A2" s="19" t="s">
        <v>1</v>
      </c>
      <c r="B2" s="19" t="s">
        <v>2</v>
      </c>
      <c r="C2" s="19" t="s">
        <v>3</v>
      </c>
      <c r="D2" s="19" t="s">
        <v>4</v>
      </c>
      <c r="E2" s="19" t="s">
        <v>5</v>
      </c>
      <c r="F2" s="19" t="s">
        <v>6</v>
      </c>
      <c r="G2" s="19" t="s">
        <v>7</v>
      </c>
      <c r="H2" s="19" t="s">
        <v>8</v>
      </c>
      <c r="I2" s="19" t="s">
        <v>418</v>
      </c>
      <c r="J2" s="19" t="s">
        <v>419</v>
      </c>
    </row>
    <row r="3" spans="1:14" x14ac:dyDescent="0.25">
      <c r="A3" s="20" t="s">
        <v>9</v>
      </c>
      <c r="B3" s="64">
        <v>78</v>
      </c>
      <c r="C3" s="21">
        <v>49</v>
      </c>
      <c r="D3" s="21">
        <v>11</v>
      </c>
      <c r="E3" s="23">
        <v>18</v>
      </c>
      <c r="F3" s="21">
        <v>47</v>
      </c>
      <c r="G3" s="24">
        <v>31</v>
      </c>
      <c r="H3" s="22">
        <v>24</v>
      </c>
      <c r="I3" s="23">
        <v>37</v>
      </c>
      <c r="J3" s="27">
        <v>17</v>
      </c>
    </row>
    <row r="4" spans="1:14" x14ac:dyDescent="0.25">
      <c r="A4" s="25" t="s">
        <v>10</v>
      </c>
      <c r="B4" s="64">
        <v>12</v>
      </c>
      <c r="C4" s="21">
        <v>7</v>
      </c>
      <c r="D4" s="21">
        <v>2</v>
      </c>
      <c r="E4" s="23">
        <v>3</v>
      </c>
      <c r="F4" s="21">
        <v>10</v>
      </c>
      <c r="G4" s="24">
        <v>2</v>
      </c>
      <c r="H4" s="22">
        <v>6</v>
      </c>
      <c r="I4" s="23">
        <v>2</v>
      </c>
      <c r="J4" s="27">
        <v>4</v>
      </c>
    </row>
    <row r="5" spans="1:14" x14ac:dyDescent="0.25">
      <c r="A5" s="26" t="s">
        <v>11</v>
      </c>
      <c r="B5" s="64">
        <v>7</v>
      </c>
      <c r="C5" s="21">
        <v>6</v>
      </c>
      <c r="D5" s="21">
        <v>1</v>
      </c>
      <c r="E5" s="27">
        <v>0</v>
      </c>
      <c r="F5" s="21">
        <v>5</v>
      </c>
      <c r="G5" s="24">
        <v>2</v>
      </c>
      <c r="H5" s="22">
        <v>5</v>
      </c>
      <c r="I5" s="23">
        <v>1</v>
      </c>
      <c r="J5" s="27">
        <v>1</v>
      </c>
    </row>
    <row r="6" spans="1:14" x14ac:dyDescent="0.25">
      <c r="A6" s="28" t="s">
        <v>12</v>
      </c>
      <c r="B6" s="64">
        <v>5</v>
      </c>
      <c r="C6" s="21">
        <v>3</v>
      </c>
      <c r="D6" s="21">
        <v>2</v>
      </c>
      <c r="E6" s="27">
        <v>0</v>
      </c>
      <c r="F6" s="21">
        <v>4</v>
      </c>
      <c r="G6" s="24">
        <v>1</v>
      </c>
      <c r="H6" s="22">
        <v>1</v>
      </c>
      <c r="I6" s="23">
        <v>3</v>
      </c>
      <c r="J6" s="27">
        <v>1</v>
      </c>
    </row>
    <row r="7" spans="1:14" x14ac:dyDescent="0.25">
      <c r="A7" s="29" t="s">
        <v>13</v>
      </c>
      <c r="B7" s="64">
        <v>5</v>
      </c>
      <c r="C7" s="21">
        <v>4</v>
      </c>
      <c r="D7" s="21">
        <v>1</v>
      </c>
      <c r="E7" s="27">
        <v>0</v>
      </c>
      <c r="F7" s="21">
        <v>5</v>
      </c>
      <c r="G7" s="24">
        <v>0</v>
      </c>
      <c r="H7" s="22">
        <v>3</v>
      </c>
      <c r="I7" s="23">
        <v>2</v>
      </c>
      <c r="J7" s="27"/>
    </row>
    <row r="8" spans="1:14" x14ac:dyDescent="0.25">
      <c r="A8" s="30" t="s">
        <v>14</v>
      </c>
      <c r="B8" s="64">
        <v>4</v>
      </c>
      <c r="C8" s="21">
        <v>3</v>
      </c>
      <c r="D8" s="21">
        <v>1</v>
      </c>
      <c r="E8" s="27">
        <v>0</v>
      </c>
      <c r="F8" s="21">
        <v>3</v>
      </c>
      <c r="G8" s="24">
        <v>1</v>
      </c>
      <c r="H8" s="22">
        <v>1</v>
      </c>
      <c r="I8" s="23">
        <v>2</v>
      </c>
      <c r="J8" s="27">
        <v>1</v>
      </c>
    </row>
    <row r="9" spans="1:14" x14ac:dyDescent="0.25">
      <c r="A9" s="31" t="s">
        <v>15</v>
      </c>
      <c r="B9" s="64">
        <v>4</v>
      </c>
      <c r="C9" s="21">
        <v>3</v>
      </c>
      <c r="D9" s="21">
        <v>1</v>
      </c>
      <c r="E9" s="27">
        <v>0</v>
      </c>
      <c r="F9" s="21">
        <v>1</v>
      </c>
      <c r="G9" s="24">
        <v>3</v>
      </c>
      <c r="H9" s="22">
        <v>3</v>
      </c>
      <c r="I9" s="23">
        <v>1</v>
      </c>
      <c r="J9" s="27"/>
    </row>
    <row r="10" spans="1:14" x14ac:dyDescent="0.25">
      <c r="A10" s="32" t="s">
        <v>16</v>
      </c>
      <c r="B10" s="64">
        <v>4</v>
      </c>
      <c r="C10" s="21">
        <v>3</v>
      </c>
      <c r="D10" s="21">
        <v>1</v>
      </c>
      <c r="E10" s="27">
        <v>0</v>
      </c>
      <c r="F10" s="21">
        <v>4</v>
      </c>
      <c r="G10" s="24">
        <v>0</v>
      </c>
      <c r="H10" s="22">
        <v>2</v>
      </c>
      <c r="I10" s="23">
        <v>2</v>
      </c>
      <c r="J10" s="27"/>
    </row>
    <row r="11" spans="1:14" x14ac:dyDescent="0.25">
      <c r="A11" s="20" t="s">
        <v>17</v>
      </c>
      <c r="B11" s="33">
        <f>SUM(B3:B10)</f>
        <v>119</v>
      </c>
      <c r="C11" s="33">
        <f t="shared" ref="C11:J11" si="0">SUM(C3:C10)</f>
        <v>78</v>
      </c>
      <c r="D11" s="33">
        <f t="shared" si="0"/>
        <v>20</v>
      </c>
      <c r="E11" s="33">
        <f t="shared" si="0"/>
        <v>21</v>
      </c>
      <c r="F11" s="33">
        <f t="shared" si="0"/>
        <v>79</v>
      </c>
      <c r="G11" s="33">
        <f t="shared" si="0"/>
        <v>40</v>
      </c>
      <c r="H11" s="33">
        <f t="shared" si="0"/>
        <v>45</v>
      </c>
      <c r="I11" s="33">
        <f t="shared" si="0"/>
        <v>50</v>
      </c>
      <c r="J11" s="33">
        <f t="shared" si="0"/>
        <v>24</v>
      </c>
    </row>
    <row r="13" spans="1:14" x14ac:dyDescent="0.25">
      <c r="N13" s="57"/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F4397-5C99-4B15-873E-94EF1B70C520}">
  <sheetPr>
    <tabColor theme="5" tint="0.59999389629810485"/>
  </sheetPr>
  <dimension ref="A1:L9"/>
  <sheetViews>
    <sheetView zoomScale="145" zoomScaleNormal="145" workbookViewId="0">
      <selection activeCell="F27" sqref="F27"/>
    </sheetView>
  </sheetViews>
  <sheetFormatPr baseColWidth="10" defaultRowHeight="15" x14ac:dyDescent="0.25"/>
  <cols>
    <col min="1" max="1" width="18.28515625" customWidth="1"/>
    <col min="2" max="2" width="14.28515625" customWidth="1"/>
  </cols>
  <sheetData>
    <row r="1" spans="1:12" x14ac:dyDescent="0.25">
      <c r="A1" s="19" t="s">
        <v>435</v>
      </c>
      <c r="B1" s="19" t="s">
        <v>434</v>
      </c>
      <c r="C1" s="19" t="s">
        <v>297</v>
      </c>
      <c r="D1" s="19" t="s">
        <v>2</v>
      </c>
      <c r="E1" s="19" t="s">
        <v>3</v>
      </c>
      <c r="F1" s="19" t="s">
        <v>4</v>
      </c>
      <c r="G1" s="19" t="s">
        <v>5</v>
      </c>
      <c r="H1" s="19" t="s">
        <v>6</v>
      </c>
      <c r="I1" s="19" t="s">
        <v>7</v>
      </c>
      <c r="J1" s="19" t="s">
        <v>8</v>
      </c>
      <c r="K1" s="19" t="s">
        <v>418</v>
      </c>
      <c r="L1" s="19" t="s">
        <v>419</v>
      </c>
    </row>
    <row r="2" spans="1:12" x14ac:dyDescent="0.25">
      <c r="A2" s="71" t="s">
        <v>436</v>
      </c>
      <c r="B2" s="70" t="s">
        <v>437</v>
      </c>
      <c r="C2" s="70" t="s">
        <v>12</v>
      </c>
      <c r="D2" s="70">
        <v>5</v>
      </c>
      <c r="E2" s="70">
        <v>3</v>
      </c>
      <c r="F2" s="70">
        <v>2</v>
      </c>
      <c r="G2" s="70">
        <v>0</v>
      </c>
      <c r="H2" s="70">
        <v>4</v>
      </c>
      <c r="I2" s="70">
        <v>1</v>
      </c>
      <c r="J2" s="70">
        <v>1</v>
      </c>
      <c r="K2" s="70">
        <v>3</v>
      </c>
      <c r="L2" s="70">
        <v>1</v>
      </c>
    </row>
    <row r="3" spans="1:12" x14ac:dyDescent="0.25">
      <c r="A3" s="37">
        <v>1201</v>
      </c>
      <c r="B3" s="70" t="s">
        <v>16</v>
      </c>
      <c r="C3" s="70" t="s">
        <v>9</v>
      </c>
      <c r="D3" s="70">
        <v>78</v>
      </c>
      <c r="E3" s="70">
        <v>49</v>
      </c>
      <c r="F3" s="70">
        <v>11</v>
      </c>
      <c r="G3" s="70">
        <v>18</v>
      </c>
      <c r="H3" s="70">
        <v>47</v>
      </c>
      <c r="I3" s="70">
        <v>31</v>
      </c>
      <c r="J3" s="70">
        <v>24</v>
      </c>
      <c r="K3" s="70">
        <v>37</v>
      </c>
      <c r="L3" s="70">
        <v>17</v>
      </c>
    </row>
    <row r="4" spans="1:12" x14ac:dyDescent="0.25">
      <c r="A4" s="37">
        <v>1202</v>
      </c>
      <c r="B4" s="70" t="s">
        <v>16</v>
      </c>
      <c r="C4" s="70" t="s">
        <v>14</v>
      </c>
      <c r="D4" s="70">
        <v>4</v>
      </c>
      <c r="E4" s="70">
        <v>3</v>
      </c>
      <c r="F4" s="70">
        <v>1</v>
      </c>
      <c r="G4" s="70">
        <v>0</v>
      </c>
      <c r="H4" s="70">
        <v>3</v>
      </c>
      <c r="I4" s="70">
        <v>1</v>
      </c>
      <c r="J4" s="70">
        <v>1</v>
      </c>
      <c r="K4" s="70">
        <v>2</v>
      </c>
      <c r="L4" s="70">
        <v>1</v>
      </c>
    </row>
    <row r="5" spans="1:12" x14ac:dyDescent="0.25">
      <c r="A5" s="37">
        <v>1204</v>
      </c>
      <c r="B5" s="70" t="s">
        <v>16</v>
      </c>
      <c r="C5" s="70" t="s">
        <v>11</v>
      </c>
      <c r="D5" s="70">
        <v>7</v>
      </c>
      <c r="E5" s="70">
        <v>6</v>
      </c>
      <c r="F5" s="70">
        <v>1</v>
      </c>
      <c r="G5" s="70">
        <v>0</v>
      </c>
      <c r="H5" s="70">
        <v>5</v>
      </c>
      <c r="I5" s="70">
        <v>2</v>
      </c>
      <c r="J5" s="70">
        <v>5</v>
      </c>
      <c r="K5" s="70">
        <v>1</v>
      </c>
      <c r="L5" s="70">
        <v>1</v>
      </c>
    </row>
    <row r="6" spans="1:12" x14ac:dyDescent="0.25">
      <c r="A6" s="37">
        <v>1205</v>
      </c>
      <c r="B6" s="70" t="s">
        <v>16</v>
      </c>
      <c r="C6" s="70" t="s">
        <v>16</v>
      </c>
      <c r="D6" s="70">
        <v>4</v>
      </c>
      <c r="E6" s="70">
        <v>3</v>
      </c>
      <c r="F6" s="70">
        <v>1</v>
      </c>
      <c r="G6" s="70">
        <v>0</v>
      </c>
      <c r="H6" s="70">
        <v>4</v>
      </c>
      <c r="I6" s="70">
        <v>0</v>
      </c>
      <c r="J6" s="70">
        <v>2</v>
      </c>
      <c r="K6" s="70">
        <v>2</v>
      </c>
      <c r="L6" s="70"/>
    </row>
    <row r="7" spans="1:12" x14ac:dyDescent="0.25">
      <c r="A7" s="37">
        <v>1207</v>
      </c>
      <c r="B7" s="70" t="s">
        <v>16</v>
      </c>
      <c r="C7" s="70" t="s">
        <v>10</v>
      </c>
      <c r="D7" s="70">
        <v>12</v>
      </c>
      <c r="E7" s="70">
        <v>7</v>
      </c>
      <c r="F7" s="70">
        <v>2</v>
      </c>
      <c r="G7" s="70">
        <v>3</v>
      </c>
      <c r="H7" s="70">
        <v>10</v>
      </c>
      <c r="I7" s="70">
        <v>2</v>
      </c>
      <c r="J7" s="70">
        <v>6</v>
      </c>
      <c r="K7" s="70">
        <v>2</v>
      </c>
      <c r="L7" s="70">
        <v>4</v>
      </c>
    </row>
    <row r="8" spans="1:12" x14ac:dyDescent="0.25">
      <c r="A8" s="37">
        <v>1208</v>
      </c>
      <c r="B8" s="70" t="s">
        <v>16</v>
      </c>
      <c r="C8" s="70" t="s">
        <v>15</v>
      </c>
      <c r="D8" s="70">
        <v>4</v>
      </c>
      <c r="E8" s="70">
        <v>3</v>
      </c>
      <c r="F8" s="70">
        <v>1</v>
      </c>
      <c r="G8" s="70">
        <v>0</v>
      </c>
      <c r="H8" s="70">
        <v>1</v>
      </c>
      <c r="I8" s="70">
        <v>3</v>
      </c>
      <c r="J8" s="70">
        <v>3</v>
      </c>
      <c r="K8" s="70">
        <v>1</v>
      </c>
      <c r="L8" s="70"/>
    </row>
    <row r="9" spans="1:12" x14ac:dyDescent="0.25">
      <c r="A9" s="37">
        <v>1209</v>
      </c>
      <c r="B9" s="70" t="s">
        <v>16</v>
      </c>
      <c r="C9" s="70" t="s">
        <v>13</v>
      </c>
      <c r="D9" s="70">
        <v>5</v>
      </c>
      <c r="E9" s="70">
        <v>4</v>
      </c>
      <c r="F9" s="70">
        <v>1</v>
      </c>
      <c r="G9" s="70">
        <v>0</v>
      </c>
      <c r="H9" s="70">
        <v>5</v>
      </c>
      <c r="I9" s="70">
        <v>0</v>
      </c>
      <c r="J9" s="70">
        <v>3</v>
      </c>
      <c r="K9" s="70">
        <v>2</v>
      </c>
      <c r="L9" s="7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>
    <tabColor theme="5" tint="0.59999389629810485"/>
  </sheetPr>
  <dimension ref="A1:H129"/>
  <sheetViews>
    <sheetView topLeftCell="A61" zoomScale="110" zoomScaleNormal="110" workbookViewId="0">
      <selection activeCell="C78" sqref="C78"/>
    </sheetView>
  </sheetViews>
  <sheetFormatPr baseColWidth="10" defaultColWidth="8.7109375" defaultRowHeight="15" x14ac:dyDescent="0.25"/>
  <cols>
    <col min="1" max="1" width="14" style="2" customWidth="1"/>
    <col min="2" max="2" width="8" style="2" customWidth="1"/>
    <col min="3" max="3" width="24" style="2" customWidth="1"/>
    <col min="4" max="4" width="6" style="2" customWidth="1"/>
    <col min="5" max="5" width="20" style="2" customWidth="1"/>
    <col min="6" max="6" width="38" style="2" customWidth="1"/>
    <col min="7" max="7" width="8" style="2" customWidth="1"/>
    <col min="8" max="8" width="16" style="2" customWidth="1"/>
    <col min="9" max="9" width="8.7109375" style="2" customWidth="1"/>
    <col min="10" max="16384" width="8.7109375" style="2"/>
  </cols>
  <sheetData>
    <row r="1" spans="1:8" ht="21.75" customHeight="1" x14ac:dyDescent="0.25">
      <c r="A1" s="99" t="s">
        <v>51</v>
      </c>
      <c r="B1" s="89"/>
      <c r="C1" s="89"/>
      <c r="D1" s="89"/>
      <c r="E1" s="89"/>
      <c r="F1" s="89"/>
      <c r="G1" s="89"/>
      <c r="H1" s="89"/>
    </row>
    <row r="2" spans="1:8" x14ac:dyDescent="0.25">
      <c r="A2" s="19" t="s">
        <v>1</v>
      </c>
      <c r="B2" s="19" t="s">
        <v>52</v>
      </c>
      <c r="C2" s="19" t="s">
        <v>53</v>
      </c>
      <c r="D2" s="19" t="s">
        <v>54</v>
      </c>
      <c r="E2" s="19" t="s">
        <v>55</v>
      </c>
      <c r="F2" s="19" t="s">
        <v>56</v>
      </c>
      <c r="G2" s="19" t="s">
        <v>57</v>
      </c>
      <c r="H2" s="19" t="s">
        <v>58</v>
      </c>
    </row>
    <row r="3" spans="1:8" ht="18" customHeight="1" x14ac:dyDescent="0.25">
      <c r="A3" s="100" t="s">
        <v>59</v>
      </c>
      <c r="B3" s="95"/>
      <c r="C3" s="95"/>
      <c r="D3" s="95"/>
      <c r="E3" s="95"/>
      <c r="F3" s="95"/>
      <c r="G3" s="95"/>
      <c r="H3" s="95"/>
    </row>
    <row r="4" spans="1:8" x14ac:dyDescent="0.25">
      <c r="A4" s="27"/>
      <c r="B4" s="34" t="s">
        <v>5</v>
      </c>
      <c r="C4" s="35" t="s">
        <v>60</v>
      </c>
      <c r="D4" s="27" t="s">
        <v>61</v>
      </c>
      <c r="E4" s="35" t="s">
        <v>9</v>
      </c>
      <c r="F4" s="35" t="s">
        <v>62</v>
      </c>
      <c r="G4" s="21" t="s">
        <v>63</v>
      </c>
      <c r="H4" s="22" t="s">
        <v>64</v>
      </c>
    </row>
    <row r="5" spans="1:8" x14ac:dyDescent="0.25">
      <c r="A5" s="58"/>
      <c r="B5" s="34" t="s">
        <v>5</v>
      </c>
      <c r="C5" s="35" t="s">
        <v>60</v>
      </c>
      <c r="D5" s="27" t="s">
        <v>61</v>
      </c>
      <c r="E5" s="35" t="s">
        <v>9</v>
      </c>
      <c r="F5" s="35" t="s">
        <v>68</v>
      </c>
      <c r="G5" s="21" t="s">
        <v>63</v>
      </c>
      <c r="H5" s="22" t="s">
        <v>69</v>
      </c>
    </row>
    <row r="6" spans="1:8" x14ac:dyDescent="0.25">
      <c r="A6" s="58"/>
      <c r="B6" s="34" t="s">
        <v>5</v>
      </c>
      <c r="C6" s="35" t="s">
        <v>60</v>
      </c>
      <c r="D6" s="27" t="s">
        <v>61</v>
      </c>
      <c r="E6" s="35" t="s">
        <v>9</v>
      </c>
      <c r="F6" s="35" t="s">
        <v>65</v>
      </c>
      <c r="G6" s="21" t="s">
        <v>66</v>
      </c>
      <c r="H6" s="22" t="s">
        <v>69</v>
      </c>
    </row>
    <row r="7" spans="1:8" x14ac:dyDescent="0.25">
      <c r="A7" s="58"/>
      <c r="B7" s="34" t="s">
        <v>5</v>
      </c>
      <c r="C7" s="35" t="s">
        <v>60</v>
      </c>
      <c r="D7" s="27" t="s">
        <v>70</v>
      </c>
      <c r="E7" s="35" t="s">
        <v>9</v>
      </c>
      <c r="F7" s="35" t="s">
        <v>71</v>
      </c>
      <c r="G7" s="21" t="s">
        <v>63</v>
      </c>
      <c r="H7" s="22" t="s">
        <v>64</v>
      </c>
    </row>
    <row r="8" spans="1:8" x14ac:dyDescent="0.25">
      <c r="A8" s="58"/>
      <c r="B8" s="34" t="s">
        <v>5</v>
      </c>
      <c r="C8" s="35" t="s">
        <v>60</v>
      </c>
      <c r="D8" s="27" t="s">
        <v>70</v>
      </c>
      <c r="E8" s="35" t="s">
        <v>9</v>
      </c>
      <c r="F8" s="35" t="s">
        <v>72</v>
      </c>
      <c r="G8" s="21" t="s">
        <v>63</v>
      </c>
      <c r="H8" s="23" t="s">
        <v>64</v>
      </c>
    </row>
    <row r="9" spans="1:8" x14ac:dyDescent="0.25">
      <c r="A9" s="58"/>
      <c r="B9" s="34" t="s">
        <v>5</v>
      </c>
      <c r="C9" s="35" t="s">
        <v>60</v>
      </c>
      <c r="D9" s="27" t="s">
        <v>70</v>
      </c>
      <c r="E9" s="35" t="s">
        <v>9</v>
      </c>
      <c r="F9" s="35" t="s">
        <v>73</v>
      </c>
      <c r="G9" s="21" t="s">
        <v>63</v>
      </c>
      <c r="H9" s="22" t="s">
        <v>69</v>
      </c>
    </row>
    <row r="10" spans="1:8" ht="24" customHeight="1" x14ac:dyDescent="0.25">
      <c r="A10" s="58"/>
      <c r="B10" s="36" t="s">
        <v>5</v>
      </c>
      <c r="C10" s="35" t="s">
        <v>74</v>
      </c>
      <c r="D10" s="27" t="s">
        <v>75</v>
      </c>
      <c r="E10" s="35" t="s">
        <v>9</v>
      </c>
      <c r="F10" s="35" t="s">
        <v>76</v>
      </c>
      <c r="G10" s="21" t="s">
        <v>63</v>
      </c>
      <c r="H10" s="22" t="s">
        <v>64</v>
      </c>
    </row>
    <row r="11" spans="1:8" x14ac:dyDescent="0.25">
      <c r="A11" s="58"/>
      <c r="B11" s="36" t="s">
        <v>5</v>
      </c>
      <c r="C11" s="35" t="s">
        <v>74</v>
      </c>
      <c r="D11" s="27" t="s">
        <v>75</v>
      </c>
      <c r="E11" s="35" t="s">
        <v>9</v>
      </c>
      <c r="F11" s="35" t="s">
        <v>77</v>
      </c>
      <c r="G11" s="21" t="s">
        <v>66</v>
      </c>
      <c r="H11" s="22" t="s">
        <v>64</v>
      </c>
    </row>
    <row r="12" spans="1:8" x14ac:dyDescent="0.25">
      <c r="A12" s="58"/>
      <c r="B12" s="36" t="s">
        <v>5</v>
      </c>
      <c r="C12" s="35" t="s">
        <v>74</v>
      </c>
      <c r="D12" s="27" t="s">
        <v>75</v>
      </c>
      <c r="E12" s="35" t="s">
        <v>9</v>
      </c>
      <c r="F12" s="35" t="s">
        <v>78</v>
      </c>
      <c r="G12" s="24" t="s">
        <v>63</v>
      </c>
      <c r="H12" s="22" t="s">
        <v>69</v>
      </c>
    </row>
    <row r="13" spans="1:8" x14ac:dyDescent="0.25">
      <c r="A13" s="58"/>
      <c r="B13" s="36" t="s">
        <v>5</v>
      </c>
      <c r="C13" s="35" t="s">
        <v>23</v>
      </c>
      <c r="D13" s="27" t="s">
        <v>75</v>
      </c>
      <c r="E13" s="35" t="s">
        <v>9</v>
      </c>
      <c r="F13" s="35" t="s">
        <v>79</v>
      </c>
      <c r="G13" s="21" t="s">
        <v>63</v>
      </c>
      <c r="H13" s="37" t="s">
        <v>64</v>
      </c>
    </row>
    <row r="14" spans="1:8" x14ac:dyDescent="0.25">
      <c r="A14" s="58"/>
      <c r="B14" s="36" t="s">
        <v>5</v>
      </c>
      <c r="C14" s="35" t="s">
        <v>23</v>
      </c>
      <c r="D14" s="27" t="s">
        <v>75</v>
      </c>
      <c r="E14" s="35" t="s">
        <v>9</v>
      </c>
      <c r="F14" s="35" t="s">
        <v>80</v>
      </c>
      <c r="G14" s="21" t="s">
        <v>66</v>
      </c>
      <c r="H14" s="37" t="s">
        <v>69</v>
      </c>
    </row>
    <row r="15" spans="1:8" x14ac:dyDescent="0.25">
      <c r="A15" s="58"/>
      <c r="B15" s="36" t="s">
        <v>5</v>
      </c>
      <c r="C15" s="35" t="s">
        <v>23</v>
      </c>
      <c r="D15" s="27" t="s">
        <v>75</v>
      </c>
      <c r="E15" s="35" t="s">
        <v>9</v>
      </c>
      <c r="F15" s="35" t="s">
        <v>81</v>
      </c>
      <c r="G15" s="21" t="s">
        <v>66</v>
      </c>
      <c r="H15" s="37" t="s">
        <v>69</v>
      </c>
    </row>
    <row r="16" spans="1:8" x14ac:dyDescent="0.25">
      <c r="A16" s="58"/>
      <c r="B16" s="36" t="s">
        <v>5</v>
      </c>
      <c r="C16" s="35" t="s">
        <v>25</v>
      </c>
      <c r="D16" s="27" t="s">
        <v>61</v>
      </c>
      <c r="E16" s="35" t="s">
        <v>9</v>
      </c>
      <c r="F16" s="35" t="s">
        <v>82</v>
      </c>
      <c r="G16" s="24" t="s">
        <v>63</v>
      </c>
      <c r="H16" s="37" t="s">
        <v>64</v>
      </c>
    </row>
    <row r="17" spans="1:8" x14ac:dyDescent="0.25">
      <c r="A17" s="58"/>
      <c r="B17" s="36" t="s">
        <v>5</v>
      </c>
      <c r="C17" s="35" t="s">
        <v>25</v>
      </c>
      <c r="D17" s="27" t="s">
        <v>61</v>
      </c>
      <c r="E17" s="35" t="s">
        <v>9</v>
      </c>
      <c r="F17" s="35" t="s">
        <v>84</v>
      </c>
      <c r="G17" s="24" t="s">
        <v>63</v>
      </c>
      <c r="H17" s="37" t="s">
        <v>64</v>
      </c>
    </row>
    <row r="18" spans="1:8" x14ac:dyDescent="0.25">
      <c r="A18" s="58"/>
      <c r="B18" s="36" t="s">
        <v>5</v>
      </c>
      <c r="C18" s="35" t="s">
        <v>25</v>
      </c>
      <c r="D18" s="27" t="s">
        <v>61</v>
      </c>
      <c r="E18" s="35" t="s">
        <v>9</v>
      </c>
      <c r="F18" s="35" t="s">
        <v>420</v>
      </c>
      <c r="G18" s="24" t="s">
        <v>63</v>
      </c>
      <c r="H18" s="23" t="s">
        <v>69</v>
      </c>
    </row>
    <row r="19" spans="1:8" x14ac:dyDescent="0.25">
      <c r="A19" s="58"/>
      <c r="B19" s="36" t="s">
        <v>5</v>
      </c>
      <c r="C19" s="35" t="s">
        <v>25</v>
      </c>
      <c r="D19" s="27" t="s">
        <v>70</v>
      </c>
      <c r="E19" s="35" t="s">
        <v>9</v>
      </c>
      <c r="F19" s="35" t="s">
        <v>85</v>
      </c>
      <c r="G19" s="21" t="s">
        <v>63</v>
      </c>
      <c r="H19" s="37" t="s">
        <v>64</v>
      </c>
    </row>
    <row r="20" spans="1:8" x14ac:dyDescent="0.25">
      <c r="A20" s="27"/>
      <c r="B20" s="36" t="s">
        <v>5</v>
      </c>
      <c r="C20" s="35" t="s">
        <v>25</v>
      </c>
      <c r="D20" s="27" t="s">
        <v>70</v>
      </c>
      <c r="E20" s="35" t="s">
        <v>9</v>
      </c>
      <c r="F20" s="35" t="s">
        <v>87</v>
      </c>
      <c r="G20" s="24" t="s">
        <v>63</v>
      </c>
      <c r="H20" s="23" t="s">
        <v>64</v>
      </c>
    </row>
    <row r="21" spans="1:8" x14ac:dyDescent="0.25">
      <c r="A21" s="27"/>
      <c r="B21" s="36" t="s">
        <v>5</v>
      </c>
      <c r="C21" s="35" t="s">
        <v>25</v>
      </c>
      <c r="D21" s="27" t="s">
        <v>70</v>
      </c>
      <c r="E21" s="35" t="s">
        <v>9</v>
      </c>
      <c r="F21" s="35" t="s">
        <v>421</v>
      </c>
      <c r="G21" s="21" t="s">
        <v>63</v>
      </c>
      <c r="H21" s="23" t="s">
        <v>69</v>
      </c>
    </row>
    <row r="22" spans="1:8" x14ac:dyDescent="0.25">
      <c r="A22" s="27"/>
      <c r="B22" s="36" t="s">
        <v>88</v>
      </c>
      <c r="C22" s="35" t="s">
        <v>89</v>
      </c>
      <c r="D22" s="27" t="s">
        <v>75</v>
      </c>
      <c r="E22" s="35" t="s">
        <v>9</v>
      </c>
      <c r="F22" s="35" t="s">
        <v>90</v>
      </c>
      <c r="G22" s="21" t="s">
        <v>63</v>
      </c>
      <c r="H22" s="23" t="s">
        <v>64</v>
      </c>
    </row>
    <row r="23" spans="1:8" x14ac:dyDescent="0.25">
      <c r="A23" s="27"/>
      <c r="B23" s="36" t="s">
        <v>88</v>
      </c>
      <c r="C23" s="35" t="s">
        <v>89</v>
      </c>
      <c r="D23" s="27" t="s">
        <v>75</v>
      </c>
      <c r="E23" s="35" t="s">
        <v>9</v>
      </c>
      <c r="F23" s="35" t="s">
        <v>92</v>
      </c>
      <c r="G23" s="24" t="s">
        <v>63</v>
      </c>
      <c r="H23" s="23" t="s">
        <v>67</v>
      </c>
    </row>
    <row r="24" spans="1:8" x14ac:dyDescent="0.25">
      <c r="A24" s="27"/>
      <c r="B24" s="36" t="s">
        <v>88</v>
      </c>
      <c r="C24" s="35" t="s">
        <v>89</v>
      </c>
      <c r="D24" s="27" t="s">
        <v>75</v>
      </c>
      <c r="E24" s="35" t="s">
        <v>9</v>
      </c>
      <c r="F24" s="35" t="s">
        <v>91</v>
      </c>
      <c r="G24" s="24" t="s">
        <v>63</v>
      </c>
      <c r="H24" s="23" t="s">
        <v>67</v>
      </c>
    </row>
    <row r="25" spans="1:8" x14ac:dyDescent="0.25">
      <c r="A25" s="27"/>
      <c r="B25" s="36" t="s">
        <v>88</v>
      </c>
      <c r="C25" s="35" t="s">
        <v>93</v>
      </c>
      <c r="D25" s="27" t="s">
        <v>61</v>
      </c>
      <c r="E25" s="35" t="s">
        <v>9</v>
      </c>
      <c r="F25" s="35" t="s">
        <v>431</v>
      </c>
      <c r="G25" s="21" t="s">
        <v>66</v>
      </c>
      <c r="H25" s="23" t="s">
        <v>67</v>
      </c>
    </row>
    <row r="26" spans="1:8" x14ac:dyDescent="0.25">
      <c r="A26" s="27"/>
      <c r="B26" s="36" t="s">
        <v>88</v>
      </c>
      <c r="C26" s="35" t="s">
        <v>93</v>
      </c>
      <c r="D26" s="27" t="s">
        <v>61</v>
      </c>
      <c r="E26" s="35" t="s">
        <v>9</v>
      </c>
      <c r="F26" s="35" t="s">
        <v>96</v>
      </c>
      <c r="G26" s="24" t="s">
        <v>63</v>
      </c>
      <c r="H26" s="37" t="s">
        <v>67</v>
      </c>
    </row>
    <row r="27" spans="1:8" x14ac:dyDescent="0.25">
      <c r="A27" s="27"/>
      <c r="B27" s="36" t="s">
        <v>88</v>
      </c>
      <c r="C27" s="35" t="s">
        <v>93</v>
      </c>
      <c r="D27" s="27" t="s">
        <v>61</v>
      </c>
      <c r="E27" s="35" t="s">
        <v>9</v>
      </c>
      <c r="F27" s="35" t="s">
        <v>422</v>
      </c>
      <c r="G27" s="21" t="s">
        <v>63</v>
      </c>
      <c r="H27" s="22" t="s">
        <v>67</v>
      </c>
    </row>
    <row r="28" spans="1:8" x14ac:dyDescent="0.25">
      <c r="A28" s="27"/>
      <c r="B28" s="36" t="s">
        <v>88</v>
      </c>
      <c r="C28" s="35" t="s">
        <v>23</v>
      </c>
      <c r="D28" s="27" t="s">
        <v>61</v>
      </c>
      <c r="E28" s="35" t="s">
        <v>9</v>
      </c>
      <c r="F28" s="35" t="s">
        <v>97</v>
      </c>
      <c r="G28" s="21" t="s">
        <v>63</v>
      </c>
      <c r="H28" s="22" t="s">
        <v>64</v>
      </c>
    </row>
    <row r="29" spans="1:8" x14ac:dyDescent="0.25">
      <c r="A29" s="27"/>
      <c r="B29" s="36" t="s">
        <v>88</v>
      </c>
      <c r="C29" s="35" t="s">
        <v>23</v>
      </c>
      <c r="D29" s="27" t="s">
        <v>70</v>
      </c>
      <c r="E29" s="35" t="s">
        <v>9</v>
      </c>
      <c r="F29" s="35" t="s">
        <v>98</v>
      </c>
      <c r="G29" s="24" t="s">
        <v>63</v>
      </c>
      <c r="H29" s="37" t="s">
        <v>64</v>
      </c>
    </row>
    <row r="30" spans="1:8" x14ac:dyDescent="0.25">
      <c r="A30" s="27"/>
      <c r="B30" s="36" t="s">
        <v>88</v>
      </c>
      <c r="C30" s="35" t="s">
        <v>23</v>
      </c>
      <c r="D30" s="27" t="s">
        <v>99</v>
      </c>
      <c r="E30" s="35" t="s">
        <v>9</v>
      </c>
      <c r="F30" s="35" t="s">
        <v>100</v>
      </c>
      <c r="G30" s="24" t="s">
        <v>66</v>
      </c>
      <c r="H30" s="37" t="s">
        <v>64</v>
      </c>
    </row>
    <row r="31" spans="1:8" x14ac:dyDescent="0.25">
      <c r="A31" s="27"/>
      <c r="B31" s="36" t="s">
        <v>88</v>
      </c>
      <c r="C31" s="35" t="s">
        <v>23</v>
      </c>
      <c r="D31" s="27" t="s">
        <v>101</v>
      </c>
      <c r="E31" s="35" t="s">
        <v>9</v>
      </c>
      <c r="F31" s="35" t="s">
        <v>102</v>
      </c>
      <c r="G31" s="21" t="s">
        <v>63</v>
      </c>
      <c r="H31" s="37" t="s">
        <v>67</v>
      </c>
    </row>
    <row r="32" spans="1:8" x14ac:dyDescent="0.25">
      <c r="A32" s="27"/>
      <c r="B32" s="36" t="s">
        <v>88</v>
      </c>
      <c r="C32" s="35" t="s">
        <v>23</v>
      </c>
      <c r="D32" s="27" t="s">
        <v>103</v>
      </c>
      <c r="E32" s="35" t="s">
        <v>9</v>
      </c>
      <c r="F32" s="35" t="s">
        <v>104</v>
      </c>
      <c r="G32" s="21" t="s">
        <v>63</v>
      </c>
      <c r="H32" s="22" t="s">
        <v>67</v>
      </c>
    </row>
    <row r="33" spans="1:8" x14ac:dyDescent="0.25">
      <c r="A33" s="27"/>
      <c r="B33" s="36" t="s">
        <v>88</v>
      </c>
      <c r="C33" s="35" t="s">
        <v>105</v>
      </c>
      <c r="D33" s="27" t="s">
        <v>75</v>
      </c>
      <c r="E33" s="35" t="s">
        <v>9</v>
      </c>
      <c r="F33" s="35" t="s">
        <v>106</v>
      </c>
      <c r="G33" s="21" t="s">
        <v>63</v>
      </c>
      <c r="H33" s="37" t="s">
        <v>67</v>
      </c>
    </row>
    <row r="34" spans="1:8" x14ac:dyDescent="0.25">
      <c r="A34" s="27"/>
      <c r="B34" s="36" t="s">
        <v>88</v>
      </c>
      <c r="C34" s="35" t="s">
        <v>27</v>
      </c>
      <c r="D34" s="27" t="s">
        <v>75</v>
      </c>
      <c r="E34" s="35" t="s">
        <v>9</v>
      </c>
      <c r="F34" s="35" t="s">
        <v>107</v>
      </c>
      <c r="G34" s="21" t="s">
        <v>66</v>
      </c>
      <c r="H34" s="22" t="s">
        <v>67</v>
      </c>
    </row>
    <row r="35" spans="1:8" x14ac:dyDescent="0.25">
      <c r="A35" s="27"/>
      <c r="B35" s="36" t="s">
        <v>88</v>
      </c>
      <c r="C35" s="35" t="s">
        <v>24</v>
      </c>
      <c r="D35" s="27" t="s">
        <v>61</v>
      </c>
      <c r="E35" s="35" t="s">
        <v>9</v>
      </c>
      <c r="F35" s="35" t="s">
        <v>108</v>
      </c>
      <c r="G35" s="24" t="s">
        <v>66</v>
      </c>
      <c r="H35" s="37" t="s">
        <v>67</v>
      </c>
    </row>
    <row r="36" spans="1:8" x14ac:dyDescent="0.25">
      <c r="A36" s="27"/>
      <c r="B36" s="36" t="s">
        <v>88</v>
      </c>
      <c r="C36" s="35" t="s">
        <v>24</v>
      </c>
      <c r="D36" s="27" t="s">
        <v>70</v>
      </c>
      <c r="E36" s="35" t="s">
        <v>9</v>
      </c>
      <c r="F36" s="35" t="s">
        <v>109</v>
      </c>
      <c r="G36" s="21" t="s">
        <v>66</v>
      </c>
      <c r="H36" s="37" t="s">
        <v>69</v>
      </c>
    </row>
    <row r="37" spans="1:8" x14ac:dyDescent="0.25">
      <c r="A37" s="27"/>
      <c r="B37" s="36" t="s">
        <v>88</v>
      </c>
      <c r="C37" s="35" t="s">
        <v>24</v>
      </c>
      <c r="D37" s="27" t="s">
        <v>99</v>
      </c>
      <c r="E37" s="35" t="s">
        <v>9</v>
      </c>
      <c r="F37" s="35" t="s">
        <v>110</v>
      </c>
      <c r="G37" s="21" t="s">
        <v>63</v>
      </c>
      <c r="H37" s="22" t="s">
        <v>67</v>
      </c>
    </row>
    <row r="38" spans="1:8" x14ac:dyDescent="0.25">
      <c r="A38" s="27"/>
      <c r="B38" s="36" t="s">
        <v>88</v>
      </c>
      <c r="C38" s="35" t="s">
        <v>24</v>
      </c>
      <c r="D38" s="27" t="s">
        <v>101</v>
      </c>
      <c r="E38" s="35" t="s">
        <v>9</v>
      </c>
      <c r="F38" s="35" t="s">
        <v>111</v>
      </c>
      <c r="G38" s="24" t="s">
        <v>66</v>
      </c>
      <c r="H38" s="22" t="s">
        <v>69</v>
      </c>
    </row>
    <row r="39" spans="1:8" ht="24" customHeight="1" x14ac:dyDescent="0.25">
      <c r="A39" s="27"/>
      <c r="B39" s="38" t="s">
        <v>88</v>
      </c>
      <c r="C39" s="35" t="s">
        <v>423</v>
      </c>
      <c r="D39" s="27" t="s">
        <v>75</v>
      </c>
      <c r="E39" s="35" t="s">
        <v>168</v>
      </c>
      <c r="F39" s="35" t="s">
        <v>227</v>
      </c>
      <c r="G39" s="21" t="s">
        <v>63</v>
      </c>
      <c r="H39" s="22" t="s">
        <v>67</v>
      </c>
    </row>
    <row r="40" spans="1:8" x14ac:dyDescent="0.25">
      <c r="A40" s="27"/>
      <c r="B40" s="36" t="s">
        <v>88</v>
      </c>
      <c r="C40" s="35" t="s">
        <v>112</v>
      </c>
      <c r="D40" s="27" t="s">
        <v>103</v>
      </c>
      <c r="E40" s="35" t="s">
        <v>9</v>
      </c>
      <c r="F40" s="35" t="s">
        <v>113</v>
      </c>
      <c r="G40" s="24" t="s">
        <v>63</v>
      </c>
      <c r="H40" s="23" t="s">
        <v>69</v>
      </c>
    </row>
    <row r="41" spans="1:8" x14ac:dyDescent="0.25">
      <c r="A41" s="27"/>
      <c r="B41" s="36" t="s">
        <v>88</v>
      </c>
      <c r="C41" s="35" t="s">
        <v>112</v>
      </c>
      <c r="D41" s="27" t="s">
        <v>114</v>
      </c>
      <c r="E41" s="35" t="s">
        <v>9</v>
      </c>
      <c r="F41" s="35" t="s">
        <v>115</v>
      </c>
      <c r="G41" s="21" t="s">
        <v>66</v>
      </c>
      <c r="H41" s="37" t="s">
        <v>69</v>
      </c>
    </row>
    <row r="42" spans="1:8" x14ac:dyDescent="0.25">
      <c r="A42" s="27"/>
      <c r="B42" s="38" t="s">
        <v>88</v>
      </c>
      <c r="C42" s="35" t="s">
        <v>112</v>
      </c>
      <c r="D42" s="27" t="s">
        <v>116</v>
      </c>
      <c r="E42" s="35" t="s">
        <v>9</v>
      </c>
      <c r="F42" s="35" t="s">
        <v>117</v>
      </c>
      <c r="G42" s="21" t="s">
        <v>66</v>
      </c>
      <c r="H42" s="23" t="s">
        <v>69</v>
      </c>
    </row>
    <row r="43" spans="1:8" x14ac:dyDescent="0.25">
      <c r="A43" s="27"/>
      <c r="B43" s="38" t="s">
        <v>88</v>
      </c>
      <c r="C43" s="35" t="s">
        <v>112</v>
      </c>
      <c r="D43" s="27" t="s">
        <v>118</v>
      </c>
      <c r="E43" s="35" t="s">
        <v>9</v>
      </c>
      <c r="F43" s="35" t="s">
        <v>119</v>
      </c>
      <c r="G43" s="24" t="s">
        <v>63</v>
      </c>
      <c r="H43" s="22" t="s">
        <v>69</v>
      </c>
    </row>
    <row r="44" spans="1:8" x14ac:dyDescent="0.25">
      <c r="A44" s="27"/>
      <c r="B44" s="38" t="s">
        <v>88</v>
      </c>
      <c r="C44" s="35" t="s">
        <v>112</v>
      </c>
      <c r="D44" s="27" t="s">
        <v>120</v>
      </c>
      <c r="E44" s="35" t="s">
        <v>9</v>
      </c>
      <c r="F44" s="35" t="s">
        <v>121</v>
      </c>
      <c r="G44" s="24" t="s">
        <v>66</v>
      </c>
      <c r="H44" s="37" t="s">
        <v>67</v>
      </c>
    </row>
    <row r="45" spans="1:8" x14ac:dyDescent="0.25">
      <c r="A45" s="27"/>
      <c r="B45" s="38" t="s">
        <v>88</v>
      </c>
      <c r="C45" s="35" t="s">
        <v>112</v>
      </c>
      <c r="D45" s="27" t="s">
        <v>122</v>
      </c>
      <c r="E45" s="35" t="s">
        <v>9</v>
      </c>
      <c r="F45" s="35" t="s">
        <v>123</v>
      </c>
      <c r="G45" s="24" t="s">
        <v>63</v>
      </c>
      <c r="H45" s="37" t="s">
        <v>69</v>
      </c>
    </row>
    <row r="46" spans="1:8" ht="24" x14ac:dyDescent="0.25">
      <c r="A46" s="27"/>
      <c r="B46" s="38" t="s">
        <v>88</v>
      </c>
      <c r="C46" s="35" t="s">
        <v>124</v>
      </c>
      <c r="D46" s="27" t="s">
        <v>103</v>
      </c>
      <c r="E46" s="35" t="s">
        <v>9</v>
      </c>
      <c r="F46" s="35" t="s">
        <v>125</v>
      </c>
      <c r="G46" s="21" t="s">
        <v>66</v>
      </c>
      <c r="H46" s="37" t="s">
        <v>67</v>
      </c>
    </row>
    <row r="47" spans="1:8" ht="24" customHeight="1" x14ac:dyDescent="0.25">
      <c r="A47" s="27"/>
      <c r="B47" s="38" t="s">
        <v>88</v>
      </c>
      <c r="C47" s="35" t="s">
        <v>124</v>
      </c>
      <c r="D47" s="27" t="s">
        <v>114</v>
      </c>
      <c r="E47" s="35" t="s">
        <v>9</v>
      </c>
      <c r="F47" s="35" t="s">
        <v>126</v>
      </c>
      <c r="G47" s="24" t="s">
        <v>63</v>
      </c>
      <c r="H47" s="37" t="s">
        <v>64</v>
      </c>
    </row>
    <row r="48" spans="1:8" ht="24" customHeight="1" x14ac:dyDescent="0.25">
      <c r="A48" s="27"/>
      <c r="B48" s="38" t="s">
        <v>88</v>
      </c>
      <c r="C48" s="35" t="s">
        <v>127</v>
      </c>
      <c r="D48" s="27" t="s">
        <v>61</v>
      </c>
      <c r="E48" s="35" t="s">
        <v>9</v>
      </c>
      <c r="F48" s="35" t="s">
        <v>128</v>
      </c>
      <c r="G48" s="21" t="s">
        <v>66</v>
      </c>
      <c r="H48" s="37" t="s">
        <v>67</v>
      </c>
    </row>
    <row r="49" spans="1:8" ht="24" x14ac:dyDescent="0.25">
      <c r="A49" s="27"/>
      <c r="B49" s="38" t="s">
        <v>88</v>
      </c>
      <c r="C49" s="35" t="s">
        <v>127</v>
      </c>
      <c r="D49" s="27" t="s">
        <v>70</v>
      </c>
      <c r="E49" s="35" t="s">
        <v>9</v>
      </c>
      <c r="F49" s="35" t="s">
        <v>129</v>
      </c>
      <c r="G49" s="21" t="s">
        <v>66</v>
      </c>
      <c r="H49" s="37" t="s">
        <v>67</v>
      </c>
    </row>
    <row r="50" spans="1:8" x14ac:dyDescent="0.25">
      <c r="A50" s="27"/>
      <c r="B50" s="38" t="s">
        <v>88</v>
      </c>
      <c r="C50" s="35" t="s">
        <v>127</v>
      </c>
      <c r="D50" s="27" t="s">
        <v>99</v>
      </c>
      <c r="E50" s="35" t="s">
        <v>9</v>
      </c>
      <c r="F50" s="35" t="s">
        <v>130</v>
      </c>
      <c r="G50" s="21" t="s">
        <v>63</v>
      </c>
      <c r="H50" s="22" t="s">
        <v>67</v>
      </c>
    </row>
    <row r="51" spans="1:8" x14ac:dyDescent="0.25">
      <c r="A51" s="27"/>
      <c r="B51" s="38" t="s">
        <v>88</v>
      </c>
      <c r="C51" s="35" t="s">
        <v>131</v>
      </c>
      <c r="D51" s="27" t="s">
        <v>61</v>
      </c>
      <c r="E51" s="35" t="s">
        <v>9</v>
      </c>
      <c r="F51" s="35" t="s">
        <v>132</v>
      </c>
      <c r="G51" s="21" t="s">
        <v>63</v>
      </c>
      <c r="H51" s="37" t="s">
        <v>64</v>
      </c>
    </row>
    <row r="52" spans="1:8" x14ac:dyDescent="0.25">
      <c r="A52" s="27"/>
      <c r="B52" s="39" t="s">
        <v>88</v>
      </c>
      <c r="C52" s="35" t="s">
        <v>131</v>
      </c>
      <c r="D52" s="27" t="s">
        <v>70</v>
      </c>
      <c r="E52" s="35" t="s">
        <v>9</v>
      </c>
      <c r="F52" s="35" t="s">
        <v>133</v>
      </c>
      <c r="G52" s="24" t="s">
        <v>63</v>
      </c>
      <c r="H52" s="37" t="s">
        <v>67</v>
      </c>
    </row>
    <row r="53" spans="1:8" x14ac:dyDescent="0.25">
      <c r="A53" s="27"/>
      <c r="B53" s="39" t="s">
        <v>88</v>
      </c>
      <c r="C53" s="35" t="s">
        <v>131</v>
      </c>
      <c r="D53" s="27" t="s">
        <v>99</v>
      </c>
      <c r="E53" s="35" t="s">
        <v>9</v>
      </c>
      <c r="F53" s="35" t="s">
        <v>134</v>
      </c>
      <c r="G53" s="24" t="s">
        <v>63</v>
      </c>
      <c r="H53" s="37" t="s">
        <v>64</v>
      </c>
    </row>
    <row r="54" spans="1:8" x14ac:dyDescent="0.25">
      <c r="A54" s="27"/>
      <c r="B54" s="39" t="s">
        <v>88</v>
      </c>
      <c r="C54" s="35" t="s">
        <v>131</v>
      </c>
      <c r="D54" s="27" t="s">
        <v>101</v>
      </c>
      <c r="E54" s="35" t="s">
        <v>9</v>
      </c>
      <c r="F54" s="35" t="s">
        <v>432</v>
      </c>
      <c r="G54" s="24" t="s">
        <v>66</v>
      </c>
      <c r="H54" s="37" t="s">
        <v>67</v>
      </c>
    </row>
    <row r="55" spans="1:8" x14ac:dyDescent="0.25">
      <c r="A55" s="27"/>
      <c r="B55" s="39" t="s">
        <v>88</v>
      </c>
      <c r="C55" s="35" t="s">
        <v>136</v>
      </c>
      <c r="D55" s="27" t="s">
        <v>61</v>
      </c>
      <c r="E55" s="35" t="s">
        <v>9</v>
      </c>
      <c r="F55" s="35" t="s">
        <v>137</v>
      </c>
      <c r="G55" s="21" t="s">
        <v>63</v>
      </c>
      <c r="H55" s="37" t="s">
        <v>67</v>
      </c>
    </row>
    <row r="56" spans="1:8" x14ac:dyDescent="0.25">
      <c r="A56" s="27"/>
      <c r="B56" s="39" t="s">
        <v>88</v>
      </c>
      <c r="C56" s="35" t="s">
        <v>136</v>
      </c>
      <c r="D56" s="27" t="s">
        <v>70</v>
      </c>
      <c r="E56" s="35" t="s">
        <v>9</v>
      </c>
      <c r="F56" s="35" t="s">
        <v>138</v>
      </c>
      <c r="G56" s="24" t="s">
        <v>63</v>
      </c>
      <c r="H56" s="37" t="s">
        <v>64</v>
      </c>
    </row>
    <row r="57" spans="1:8" x14ac:dyDescent="0.25">
      <c r="A57" s="27"/>
      <c r="B57" s="39" t="s">
        <v>88</v>
      </c>
      <c r="C57" s="35" t="s">
        <v>136</v>
      </c>
      <c r="D57" s="27" t="s">
        <v>99</v>
      </c>
      <c r="E57" s="35" t="s">
        <v>9</v>
      </c>
      <c r="F57" s="35" t="s">
        <v>139</v>
      </c>
      <c r="G57" s="24" t="s">
        <v>66</v>
      </c>
      <c r="H57" s="37" t="s">
        <v>64</v>
      </c>
    </row>
    <row r="58" spans="1:8" x14ac:dyDescent="0.25">
      <c r="A58" s="27"/>
      <c r="B58" s="39" t="s">
        <v>88</v>
      </c>
      <c r="C58" s="35" t="s">
        <v>136</v>
      </c>
      <c r="D58" s="27" t="s">
        <v>101</v>
      </c>
      <c r="E58" s="35" t="s">
        <v>9</v>
      </c>
      <c r="F58" s="35" t="s">
        <v>140</v>
      </c>
      <c r="G58" s="24" t="s">
        <v>66</v>
      </c>
      <c r="H58" s="22" t="s">
        <v>69</v>
      </c>
    </row>
    <row r="59" spans="1:8" x14ac:dyDescent="0.25">
      <c r="A59" s="27"/>
      <c r="B59" s="39" t="s">
        <v>88</v>
      </c>
      <c r="C59" s="35" t="s">
        <v>141</v>
      </c>
      <c r="D59" s="27" t="s">
        <v>75</v>
      </c>
      <c r="E59" s="35" t="s">
        <v>9</v>
      </c>
      <c r="F59" s="35" t="s">
        <v>142</v>
      </c>
      <c r="G59" s="21" t="s">
        <v>63</v>
      </c>
      <c r="H59" s="22" t="s">
        <v>67</v>
      </c>
    </row>
    <row r="60" spans="1:8" x14ac:dyDescent="0.25">
      <c r="A60" s="27"/>
      <c r="B60" s="39" t="s">
        <v>143</v>
      </c>
      <c r="C60" s="35" t="s">
        <v>144</v>
      </c>
      <c r="D60" s="27" t="s">
        <v>75</v>
      </c>
      <c r="E60" s="35" t="s">
        <v>9</v>
      </c>
      <c r="F60" s="35" t="s">
        <v>145</v>
      </c>
      <c r="G60" s="21" t="s">
        <v>63</v>
      </c>
      <c r="H60" s="37" t="s">
        <v>69</v>
      </c>
    </row>
    <row r="61" spans="1:8" x14ac:dyDescent="0.25">
      <c r="A61" s="27"/>
      <c r="B61" s="39" t="s">
        <v>143</v>
      </c>
      <c r="C61" s="35" t="s">
        <v>146</v>
      </c>
      <c r="D61" s="27" t="s">
        <v>103</v>
      </c>
      <c r="E61" s="35" t="s">
        <v>9</v>
      </c>
      <c r="F61" s="35" t="s">
        <v>147</v>
      </c>
      <c r="G61" s="24" t="s">
        <v>66</v>
      </c>
      <c r="H61" s="37" t="s">
        <v>64</v>
      </c>
    </row>
    <row r="62" spans="1:8" x14ac:dyDescent="0.25">
      <c r="A62" s="27"/>
      <c r="B62" s="39" t="s">
        <v>143</v>
      </c>
      <c r="C62" s="35" t="s">
        <v>146</v>
      </c>
      <c r="D62" s="27" t="s">
        <v>118</v>
      </c>
      <c r="E62" s="35" t="s">
        <v>9</v>
      </c>
      <c r="F62" s="35" t="s">
        <v>148</v>
      </c>
      <c r="G62" s="24" t="s">
        <v>66</v>
      </c>
      <c r="H62" s="37" t="s">
        <v>67</v>
      </c>
    </row>
    <row r="63" spans="1:8" x14ac:dyDescent="0.25">
      <c r="A63" s="59"/>
      <c r="B63" s="60" t="s">
        <v>143</v>
      </c>
      <c r="C63" s="61" t="s">
        <v>149</v>
      </c>
      <c r="D63" s="59" t="s">
        <v>99</v>
      </c>
      <c r="E63" s="61" t="s">
        <v>9</v>
      </c>
      <c r="F63" s="61" t="s">
        <v>150</v>
      </c>
      <c r="G63" s="62" t="s">
        <v>66</v>
      </c>
      <c r="H63" s="63" t="s">
        <v>67</v>
      </c>
    </row>
    <row r="64" spans="1:8" x14ac:dyDescent="0.25">
      <c r="A64" s="59"/>
      <c r="B64" s="60" t="s">
        <v>143</v>
      </c>
      <c r="C64" s="61" t="s">
        <v>149</v>
      </c>
      <c r="D64" s="59" t="s">
        <v>101</v>
      </c>
      <c r="E64" s="61" t="s">
        <v>9</v>
      </c>
      <c r="F64" s="61" t="s">
        <v>151</v>
      </c>
      <c r="G64" s="62" t="s">
        <v>63</v>
      </c>
      <c r="H64" s="63" t="s">
        <v>64</v>
      </c>
    </row>
    <row r="65" spans="1:8" x14ac:dyDescent="0.25">
      <c r="A65" s="59"/>
      <c r="B65" s="60" t="s">
        <v>143</v>
      </c>
      <c r="C65" s="61" t="s">
        <v>152</v>
      </c>
      <c r="D65" s="59" t="s">
        <v>61</v>
      </c>
      <c r="E65" s="61" t="s">
        <v>9</v>
      </c>
      <c r="F65" s="61" t="s">
        <v>153</v>
      </c>
      <c r="G65" s="62" t="s">
        <v>63</v>
      </c>
      <c r="H65" s="63" t="s">
        <v>67</v>
      </c>
    </row>
    <row r="66" spans="1:8" x14ac:dyDescent="0.25">
      <c r="A66" s="59"/>
      <c r="B66" s="60" t="s">
        <v>143</v>
      </c>
      <c r="C66" s="61" t="s">
        <v>152</v>
      </c>
      <c r="D66" s="59" t="s">
        <v>70</v>
      </c>
      <c r="E66" s="61" t="s">
        <v>9</v>
      </c>
      <c r="F66" s="61" t="s">
        <v>154</v>
      </c>
      <c r="G66" s="62" t="s">
        <v>66</v>
      </c>
      <c r="H66" s="63" t="s">
        <v>67</v>
      </c>
    </row>
    <row r="67" spans="1:8" x14ac:dyDescent="0.25">
      <c r="A67" s="59"/>
      <c r="B67" s="60" t="s">
        <v>143</v>
      </c>
      <c r="C67" s="61" t="s">
        <v>152</v>
      </c>
      <c r="D67" s="59" t="s">
        <v>99</v>
      </c>
      <c r="E67" s="61" t="s">
        <v>9</v>
      </c>
      <c r="F67" s="61" t="s">
        <v>155</v>
      </c>
      <c r="G67" s="62" t="s">
        <v>63</v>
      </c>
      <c r="H67" s="63" t="s">
        <v>67</v>
      </c>
    </row>
    <row r="68" spans="1:8" x14ac:dyDescent="0.25">
      <c r="A68" s="59"/>
      <c r="B68" s="60" t="s">
        <v>143</v>
      </c>
      <c r="C68" s="61" t="s">
        <v>156</v>
      </c>
      <c r="D68" s="59" t="s">
        <v>61</v>
      </c>
      <c r="E68" s="61" t="s">
        <v>9</v>
      </c>
      <c r="F68" s="61" t="s">
        <v>157</v>
      </c>
      <c r="G68" s="62" t="s">
        <v>63</v>
      </c>
      <c r="H68" s="63" t="s">
        <v>67</v>
      </c>
    </row>
    <row r="69" spans="1:8" x14ac:dyDescent="0.25">
      <c r="A69" s="59"/>
      <c r="B69" s="60" t="s">
        <v>143</v>
      </c>
      <c r="C69" s="61" t="s">
        <v>156</v>
      </c>
      <c r="D69" s="59" t="s">
        <v>70</v>
      </c>
      <c r="E69" s="61" t="s">
        <v>9</v>
      </c>
      <c r="F69" s="61" t="s">
        <v>158</v>
      </c>
      <c r="G69" s="62" t="s">
        <v>63</v>
      </c>
      <c r="H69" s="63" t="s">
        <v>64</v>
      </c>
    </row>
    <row r="70" spans="1:8" x14ac:dyDescent="0.25">
      <c r="A70" s="59"/>
      <c r="B70" s="60" t="s">
        <v>143</v>
      </c>
      <c r="C70" s="61" t="s">
        <v>156</v>
      </c>
      <c r="D70" s="59" t="s">
        <v>114</v>
      </c>
      <c r="E70" s="61" t="s">
        <v>9</v>
      </c>
      <c r="F70" s="61" t="s">
        <v>424</v>
      </c>
      <c r="G70" s="62" t="s">
        <v>63</v>
      </c>
      <c r="H70" s="63" t="s">
        <v>67</v>
      </c>
    </row>
    <row r="71" spans="1:8" x14ac:dyDescent="0.25">
      <c r="A71" s="59"/>
      <c r="B71" s="60" t="s">
        <v>4</v>
      </c>
      <c r="C71" s="61" t="s">
        <v>160</v>
      </c>
      <c r="D71" s="59" t="s">
        <v>61</v>
      </c>
      <c r="E71" s="61" t="s">
        <v>9</v>
      </c>
      <c r="F71" s="61" t="s">
        <v>162</v>
      </c>
      <c r="G71" s="62" t="s">
        <v>66</v>
      </c>
      <c r="H71" s="63" t="s">
        <v>67</v>
      </c>
    </row>
    <row r="72" spans="1:8" x14ac:dyDescent="0.25">
      <c r="A72" s="59"/>
      <c r="B72" s="60" t="s">
        <v>4</v>
      </c>
      <c r="C72" s="61" t="s">
        <v>160</v>
      </c>
      <c r="D72" s="59" t="s">
        <v>70</v>
      </c>
      <c r="E72" s="61" t="s">
        <v>9</v>
      </c>
      <c r="F72" s="61" t="s">
        <v>165</v>
      </c>
      <c r="G72" s="62" t="s">
        <v>63</v>
      </c>
      <c r="H72" s="63" t="s">
        <v>67</v>
      </c>
    </row>
    <row r="73" spans="1:8" x14ac:dyDescent="0.25">
      <c r="A73" s="59"/>
      <c r="B73" s="60" t="s">
        <v>4</v>
      </c>
      <c r="C73" s="61" t="s">
        <v>160</v>
      </c>
      <c r="D73" s="59" t="s">
        <v>99</v>
      </c>
      <c r="E73" s="61" t="s">
        <v>9</v>
      </c>
      <c r="F73" s="61" t="s">
        <v>167</v>
      </c>
      <c r="G73" s="62" t="s">
        <v>66</v>
      </c>
      <c r="H73" s="63" t="s">
        <v>67</v>
      </c>
    </row>
    <row r="74" spans="1:8" x14ac:dyDescent="0.25">
      <c r="A74" s="59"/>
      <c r="B74" s="60" t="s">
        <v>4</v>
      </c>
      <c r="C74" s="61" t="s">
        <v>160</v>
      </c>
      <c r="D74" s="59" t="s">
        <v>61</v>
      </c>
      <c r="E74" s="61" t="s">
        <v>163</v>
      </c>
      <c r="F74" s="61" t="s">
        <v>164</v>
      </c>
      <c r="G74" s="62" t="s">
        <v>66</v>
      </c>
      <c r="H74" s="63" t="s">
        <v>67</v>
      </c>
    </row>
    <row r="75" spans="1:8" x14ac:dyDescent="0.25">
      <c r="A75" s="59"/>
      <c r="B75" s="60" t="s">
        <v>4</v>
      </c>
      <c r="C75" s="61" t="s">
        <v>160</v>
      </c>
      <c r="D75" s="59" t="s">
        <v>70</v>
      </c>
      <c r="E75" s="61" t="s">
        <v>163</v>
      </c>
      <c r="F75" s="61" t="s">
        <v>166</v>
      </c>
      <c r="G75" s="62" t="s">
        <v>66</v>
      </c>
      <c r="H75" s="63" t="s">
        <v>67</v>
      </c>
    </row>
    <row r="76" spans="1:8" x14ac:dyDescent="0.25">
      <c r="A76" s="59"/>
      <c r="B76" s="60" t="s">
        <v>4</v>
      </c>
      <c r="C76" s="61" t="s">
        <v>160</v>
      </c>
      <c r="D76" s="59" t="s">
        <v>75</v>
      </c>
      <c r="E76" s="61" t="s">
        <v>433</v>
      </c>
      <c r="F76" s="61" t="s">
        <v>161</v>
      </c>
      <c r="G76" s="62" t="s">
        <v>66</v>
      </c>
      <c r="H76" s="63" t="s">
        <v>67</v>
      </c>
    </row>
    <row r="77" spans="1:8" x14ac:dyDescent="0.25">
      <c r="A77" s="59"/>
      <c r="B77" s="60" t="s">
        <v>4</v>
      </c>
      <c r="C77" s="61" t="s">
        <v>23</v>
      </c>
      <c r="D77" s="59" t="s">
        <v>99</v>
      </c>
      <c r="E77" s="61" t="s">
        <v>168</v>
      </c>
      <c r="F77" s="61" t="s">
        <v>169</v>
      </c>
      <c r="G77" s="62" t="s">
        <v>66</v>
      </c>
      <c r="H77" s="63" t="s">
        <v>64</v>
      </c>
    </row>
    <row r="78" spans="1:8" x14ac:dyDescent="0.25">
      <c r="A78" s="59"/>
      <c r="B78" s="60" t="s">
        <v>4</v>
      </c>
      <c r="C78" s="61" t="s">
        <v>24</v>
      </c>
      <c r="D78" s="59" t="s">
        <v>61</v>
      </c>
      <c r="E78" s="61" t="s">
        <v>168</v>
      </c>
      <c r="F78" s="61" t="s">
        <v>170</v>
      </c>
      <c r="G78" s="62" t="s">
        <v>63</v>
      </c>
      <c r="H78" s="63" t="s">
        <v>64</v>
      </c>
    </row>
    <row r="79" spans="1:8" x14ac:dyDescent="0.25">
      <c r="A79" s="59"/>
      <c r="B79" s="60" t="s">
        <v>4</v>
      </c>
      <c r="C79" s="61" t="s">
        <v>24</v>
      </c>
      <c r="D79" s="59" t="s">
        <v>70</v>
      </c>
      <c r="E79" s="61" t="s">
        <v>168</v>
      </c>
      <c r="F79" s="61" t="s">
        <v>171</v>
      </c>
      <c r="G79" s="62" t="s">
        <v>63</v>
      </c>
      <c r="H79" s="63" t="s">
        <v>67</v>
      </c>
    </row>
    <row r="80" spans="1:8" x14ac:dyDescent="0.25">
      <c r="A80" s="59"/>
      <c r="B80" s="60" t="s">
        <v>4</v>
      </c>
      <c r="C80" s="61" t="s">
        <v>26</v>
      </c>
      <c r="D80" s="59" t="s">
        <v>101</v>
      </c>
      <c r="E80" s="61" t="s">
        <v>168</v>
      </c>
      <c r="F80" s="61" t="s">
        <v>173</v>
      </c>
      <c r="G80" s="62" t="s">
        <v>66</v>
      </c>
      <c r="H80" s="63" t="s">
        <v>67</v>
      </c>
    </row>
    <row r="81" spans="1:8" x14ac:dyDescent="0.25">
      <c r="A81" s="59"/>
      <c r="B81" s="60" t="s">
        <v>4</v>
      </c>
      <c r="C81" s="61" t="s">
        <v>25</v>
      </c>
      <c r="D81" s="59" t="s">
        <v>75</v>
      </c>
      <c r="E81" s="61" t="s">
        <v>9</v>
      </c>
      <c r="F81" s="61" t="s">
        <v>172</v>
      </c>
      <c r="G81" s="62" t="s">
        <v>66</v>
      </c>
      <c r="H81" s="63" t="s">
        <v>67</v>
      </c>
    </row>
    <row r="82" spans="1:8" ht="18" customHeight="1" x14ac:dyDescent="0.25">
      <c r="A82" s="101" t="s">
        <v>174</v>
      </c>
      <c r="B82" s="95"/>
      <c r="C82" s="95"/>
      <c r="D82" s="95"/>
      <c r="E82" s="95"/>
      <c r="F82" s="95"/>
      <c r="G82" s="95"/>
      <c r="H82" s="95"/>
    </row>
    <row r="83" spans="1:8" x14ac:dyDescent="0.25">
      <c r="A83" s="27"/>
      <c r="B83" s="34" t="s">
        <v>5</v>
      </c>
      <c r="C83" s="35" t="s">
        <v>175</v>
      </c>
      <c r="D83" s="27" t="s">
        <v>75</v>
      </c>
      <c r="E83" s="35" t="s">
        <v>10</v>
      </c>
      <c r="F83" s="35" t="s">
        <v>176</v>
      </c>
      <c r="G83" s="21" t="s">
        <v>63</v>
      </c>
      <c r="H83" s="22" t="s">
        <v>64</v>
      </c>
    </row>
    <row r="84" spans="1:8" x14ac:dyDescent="0.25">
      <c r="A84" s="27"/>
      <c r="B84" s="36" t="s">
        <v>5</v>
      </c>
      <c r="C84" s="35" t="s">
        <v>175</v>
      </c>
      <c r="D84" s="27" t="s">
        <v>75</v>
      </c>
      <c r="E84" s="35" t="s">
        <v>10</v>
      </c>
      <c r="F84" s="35" t="s">
        <v>178</v>
      </c>
      <c r="G84" s="21" t="s">
        <v>63</v>
      </c>
      <c r="H84" s="22" t="s">
        <v>69</v>
      </c>
    </row>
    <row r="85" spans="1:8" x14ac:dyDescent="0.25">
      <c r="A85" s="27"/>
      <c r="B85" s="36" t="s">
        <v>5</v>
      </c>
      <c r="C85" s="35" t="s">
        <v>175</v>
      </c>
      <c r="D85" s="27" t="s">
        <v>75</v>
      </c>
      <c r="E85" s="35" t="s">
        <v>10</v>
      </c>
      <c r="F85" s="35" t="s">
        <v>177</v>
      </c>
      <c r="G85" s="21" t="s">
        <v>63</v>
      </c>
      <c r="H85" s="23" t="s">
        <v>69</v>
      </c>
    </row>
    <row r="86" spans="1:8" x14ac:dyDescent="0.25">
      <c r="A86" s="27"/>
      <c r="B86" s="36" t="s">
        <v>88</v>
      </c>
      <c r="C86" s="35" t="s">
        <v>23</v>
      </c>
      <c r="D86" s="27" t="s">
        <v>75</v>
      </c>
      <c r="E86" s="35" t="s">
        <v>10</v>
      </c>
      <c r="F86" s="35" t="s">
        <v>179</v>
      </c>
      <c r="G86" s="24" t="s">
        <v>63</v>
      </c>
      <c r="H86" s="22" t="s">
        <v>64</v>
      </c>
    </row>
    <row r="87" spans="1:8" x14ac:dyDescent="0.25">
      <c r="A87" s="27"/>
      <c r="B87" s="36" t="s">
        <v>88</v>
      </c>
      <c r="C87" s="35" t="s">
        <v>24</v>
      </c>
      <c r="D87" s="27" t="s">
        <v>75</v>
      </c>
      <c r="E87" s="35" t="s">
        <v>10</v>
      </c>
      <c r="F87" s="35" t="s">
        <v>180</v>
      </c>
      <c r="G87" s="21" t="s">
        <v>63</v>
      </c>
      <c r="H87" s="22" t="s">
        <v>69</v>
      </c>
    </row>
    <row r="88" spans="1:8" x14ac:dyDescent="0.25">
      <c r="A88" s="27"/>
      <c r="B88" s="36" t="s">
        <v>88</v>
      </c>
      <c r="C88" s="35" t="s">
        <v>131</v>
      </c>
      <c r="D88" s="27" t="s">
        <v>61</v>
      </c>
      <c r="E88" s="35" t="s">
        <v>10</v>
      </c>
      <c r="F88" s="35" t="s">
        <v>181</v>
      </c>
      <c r="G88" s="21" t="s">
        <v>66</v>
      </c>
      <c r="H88" s="22" t="s">
        <v>64</v>
      </c>
    </row>
    <row r="89" spans="1:8" x14ac:dyDescent="0.25">
      <c r="A89" s="27"/>
      <c r="B89" s="38" t="s">
        <v>88</v>
      </c>
      <c r="C89" s="35" t="s">
        <v>131</v>
      </c>
      <c r="D89" s="27" t="s">
        <v>70</v>
      </c>
      <c r="E89" s="35" t="s">
        <v>10</v>
      </c>
      <c r="F89" s="35" t="s">
        <v>182</v>
      </c>
      <c r="G89" s="21" t="s">
        <v>63</v>
      </c>
      <c r="H89" s="23" t="s">
        <v>64</v>
      </c>
    </row>
    <row r="90" spans="1:8" x14ac:dyDescent="0.25">
      <c r="A90" s="27"/>
      <c r="B90" s="38" t="s">
        <v>88</v>
      </c>
      <c r="C90" s="35" t="s">
        <v>131</v>
      </c>
      <c r="D90" s="27" t="s">
        <v>99</v>
      </c>
      <c r="E90" s="35" t="s">
        <v>10</v>
      </c>
      <c r="F90" s="35" t="s">
        <v>183</v>
      </c>
      <c r="G90" s="21" t="s">
        <v>63</v>
      </c>
      <c r="H90" s="22" t="s">
        <v>64</v>
      </c>
    </row>
    <row r="91" spans="1:8" x14ac:dyDescent="0.25">
      <c r="A91" s="27"/>
      <c r="B91" s="39" t="s">
        <v>143</v>
      </c>
      <c r="C91" s="35" t="s">
        <v>156</v>
      </c>
      <c r="D91" s="27" t="s">
        <v>61</v>
      </c>
      <c r="E91" s="35" t="s">
        <v>10</v>
      </c>
      <c r="F91" s="35" t="s">
        <v>185</v>
      </c>
      <c r="G91" s="24" t="s">
        <v>63</v>
      </c>
      <c r="H91" s="37" t="s">
        <v>64</v>
      </c>
    </row>
    <row r="92" spans="1:8" x14ac:dyDescent="0.25">
      <c r="A92" s="59"/>
      <c r="B92" s="60" t="s">
        <v>143</v>
      </c>
      <c r="C92" s="61" t="s">
        <v>149</v>
      </c>
      <c r="D92" s="59" t="s">
        <v>70</v>
      </c>
      <c r="E92" s="61" t="s">
        <v>10</v>
      </c>
      <c r="F92" s="61" t="s">
        <v>184</v>
      </c>
      <c r="G92" s="62" t="s">
        <v>63</v>
      </c>
      <c r="H92" s="63" t="s">
        <v>69</v>
      </c>
    </row>
    <row r="93" spans="1:8" x14ac:dyDescent="0.25">
      <c r="A93" s="27"/>
      <c r="B93" s="39" t="s">
        <v>4</v>
      </c>
      <c r="C93" s="35" t="s">
        <v>160</v>
      </c>
      <c r="D93" s="27" t="s">
        <v>61</v>
      </c>
      <c r="E93" s="35" t="s">
        <v>10</v>
      </c>
      <c r="F93" s="35" t="s">
        <v>188</v>
      </c>
      <c r="G93" s="21" t="s">
        <v>66</v>
      </c>
      <c r="H93" s="37" t="s">
        <v>67</v>
      </c>
    </row>
    <row r="94" spans="1:8" x14ac:dyDescent="0.25">
      <c r="A94" s="59"/>
      <c r="B94" s="60" t="s">
        <v>4</v>
      </c>
      <c r="C94" s="61" t="s">
        <v>160</v>
      </c>
      <c r="D94" s="59" t="s">
        <v>75</v>
      </c>
      <c r="E94" s="61" t="s">
        <v>186</v>
      </c>
      <c r="F94" s="61" t="s">
        <v>187</v>
      </c>
      <c r="G94" s="62" t="s">
        <v>63</v>
      </c>
      <c r="H94" s="63" t="s">
        <v>67</v>
      </c>
    </row>
    <row r="95" spans="1:8" ht="18" customHeight="1" x14ac:dyDescent="0.25">
      <c r="A95" s="97" t="s">
        <v>189</v>
      </c>
      <c r="B95" s="95"/>
      <c r="C95" s="95"/>
      <c r="D95" s="95"/>
      <c r="E95" s="95"/>
      <c r="F95" s="95"/>
      <c r="G95" s="95"/>
      <c r="H95" s="95"/>
    </row>
    <row r="96" spans="1:8" x14ac:dyDescent="0.25">
      <c r="A96" s="27"/>
      <c r="B96" s="36" t="s">
        <v>88</v>
      </c>
      <c r="C96" s="35" t="s">
        <v>23</v>
      </c>
      <c r="D96" s="27" t="s">
        <v>75</v>
      </c>
      <c r="E96" s="35" t="s">
        <v>11</v>
      </c>
      <c r="F96" s="35" t="s">
        <v>190</v>
      </c>
      <c r="G96" s="21" t="s">
        <v>63</v>
      </c>
      <c r="H96" s="22" t="s">
        <v>64</v>
      </c>
    </row>
    <row r="97" spans="1:8" x14ac:dyDescent="0.25">
      <c r="A97" s="27"/>
      <c r="B97" s="36" t="s">
        <v>88</v>
      </c>
      <c r="C97" s="35" t="s">
        <v>24</v>
      </c>
      <c r="D97" s="27" t="s">
        <v>75</v>
      </c>
      <c r="E97" s="35" t="s">
        <v>11</v>
      </c>
      <c r="F97" s="35" t="s">
        <v>191</v>
      </c>
      <c r="G97" s="24" t="s">
        <v>66</v>
      </c>
      <c r="H97" s="23" t="s">
        <v>69</v>
      </c>
    </row>
    <row r="98" spans="1:8" x14ac:dyDescent="0.25">
      <c r="A98" s="27"/>
      <c r="B98" s="36" t="s">
        <v>88</v>
      </c>
      <c r="C98" s="35" t="s">
        <v>131</v>
      </c>
      <c r="D98" s="27" t="s">
        <v>61</v>
      </c>
      <c r="E98" s="35" t="s">
        <v>11</v>
      </c>
      <c r="F98" s="35" t="s">
        <v>192</v>
      </c>
      <c r="G98" s="21" t="s">
        <v>63</v>
      </c>
      <c r="H98" s="22" t="s">
        <v>64</v>
      </c>
    </row>
    <row r="99" spans="1:8" x14ac:dyDescent="0.25">
      <c r="A99" s="27"/>
      <c r="B99" s="36" t="s">
        <v>88</v>
      </c>
      <c r="C99" s="35" t="s">
        <v>131</v>
      </c>
      <c r="D99" s="27" t="s">
        <v>70</v>
      </c>
      <c r="E99" s="35" t="s">
        <v>11</v>
      </c>
      <c r="F99" s="35" t="s">
        <v>193</v>
      </c>
      <c r="G99" s="21" t="s">
        <v>63</v>
      </c>
      <c r="H99" s="22" t="s">
        <v>64</v>
      </c>
    </row>
    <row r="100" spans="1:8" x14ac:dyDescent="0.25">
      <c r="A100" s="27"/>
      <c r="B100" s="38" t="s">
        <v>143</v>
      </c>
      <c r="C100" s="35" t="s">
        <v>156</v>
      </c>
      <c r="D100" s="27" t="s">
        <v>61</v>
      </c>
      <c r="E100" s="35" t="s">
        <v>11</v>
      </c>
      <c r="F100" s="35" t="s">
        <v>194</v>
      </c>
      <c r="G100" s="24" t="s">
        <v>66</v>
      </c>
      <c r="H100" s="22" t="s">
        <v>64</v>
      </c>
    </row>
    <row r="101" spans="1:8" x14ac:dyDescent="0.25">
      <c r="A101" s="27"/>
      <c r="B101" s="38" t="s">
        <v>143</v>
      </c>
      <c r="C101" s="35" t="s">
        <v>156</v>
      </c>
      <c r="D101" s="27" t="s">
        <v>70</v>
      </c>
      <c r="E101" s="35" t="s">
        <v>11</v>
      </c>
      <c r="F101" s="35" t="s">
        <v>195</v>
      </c>
      <c r="G101" s="21" t="s">
        <v>63</v>
      </c>
      <c r="H101" s="22" t="s">
        <v>64</v>
      </c>
    </row>
    <row r="102" spans="1:8" x14ac:dyDescent="0.25">
      <c r="A102" s="27"/>
      <c r="B102" s="39" t="s">
        <v>4</v>
      </c>
      <c r="C102" s="35" t="s">
        <v>160</v>
      </c>
      <c r="D102" s="27" t="s">
        <v>75</v>
      </c>
      <c r="E102" s="35" t="s">
        <v>11</v>
      </c>
      <c r="F102" s="35" t="s">
        <v>196</v>
      </c>
      <c r="G102" s="21" t="s">
        <v>63</v>
      </c>
      <c r="H102" s="37" t="s">
        <v>67</v>
      </c>
    </row>
    <row r="103" spans="1:8" ht="18" customHeight="1" x14ac:dyDescent="0.25">
      <c r="A103" s="96" t="s">
        <v>197</v>
      </c>
      <c r="B103" s="95"/>
      <c r="C103" s="95"/>
      <c r="D103" s="95"/>
      <c r="E103" s="95"/>
      <c r="F103" s="95"/>
      <c r="G103" s="95"/>
      <c r="H103" s="95"/>
    </row>
    <row r="104" spans="1:8" x14ac:dyDescent="0.25">
      <c r="A104" s="27"/>
      <c r="B104" s="36" t="s">
        <v>88</v>
      </c>
      <c r="C104" s="35" t="s">
        <v>23</v>
      </c>
      <c r="D104" s="27" t="s">
        <v>75</v>
      </c>
      <c r="E104" s="35" t="s">
        <v>13</v>
      </c>
      <c r="F104" s="35" t="s">
        <v>198</v>
      </c>
      <c r="G104" s="21" t="s">
        <v>63</v>
      </c>
      <c r="H104" s="22" t="s">
        <v>64</v>
      </c>
    </row>
    <row r="105" spans="1:8" x14ac:dyDescent="0.25">
      <c r="A105" s="27"/>
      <c r="B105" s="36" t="s">
        <v>88</v>
      </c>
      <c r="C105" s="35" t="s">
        <v>199</v>
      </c>
      <c r="D105" s="27" t="s">
        <v>75</v>
      </c>
      <c r="E105" s="35" t="s">
        <v>13</v>
      </c>
      <c r="F105" s="35" t="s">
        <v>430</v>
      </c>
      <c r="G105" s="21" t="s">
        <v>63</v>
      </c>
      <c r="H105" s="37" t="s">
        <v>67</v>
      </c>
    </row>
    <row r="106" spans="1:8" x14ac:dyDescent="0.25">
      <c r="A106" s="27"/>
      <c r="B106" s="36" t="s">
        <v>88</v>
      </c>
      <c r="C106" s="35" t="s">
        <v>131</v>
      </c>
      <c r="D106" s="27" t="s">
        <v>75</v>
      </c>
      <c r="E106" s="35" t="s">
        <v>13</v>
      </c>
      <c r="F106" s="35" t="s">
        <v>201</v>
      </c>
      <c r="G106" s="21" t="s">
        <v>63</v>
      </c>
      <c r="H106" s="22" t="s">
        <v>64</v>
      </c>
    </row>
    <row r="107" spans="1:8" x14ac:dyDescent="0.25">
      <c r="A107" s="27"/>
      <c r="B107" s="38" t="s">
        <v>143</v>
      </c>
      <c r="C107" s="35" t="s">
        <v>156</v>
      </c>
      <c r="D107" s="27" t="s">
        <v>75</v>
      </c>
      <c r="E107" s="35" t="s">
        <v>13</v>
      </c>
      <c r="F107" s="35" t="s">
        <v>202</v>
      </c>
      <c r="G107" s="21" t="s">
        <v>63</v>
      </c>
      <c r="H107" s="22" t="s">
        <v>64</v>
      </c>
    </row>
    <row r="108" spans="1:8" x14ac:dyDescent="0.25">
      <c r="A108" s="27"/>
      <c r="B108" s="39" t="s">
        <v>4</v>
      </c>
      <c r="C108" s="35" t="s">
        <v>160</v>
      </c>
      <c r="D108" s="27" t="s">
        <v>75</v>
      </c>
      <c r="E108" s="35" t="s">
        <v>13</v>
      </c>
      <c r="F108" s="35" t="s">
        <v>203</v>
      </c>
      <c r="G108" s="21" t="s">
        <v>63</v>
      </c>
      <c r="H108" s="37" t="s">
        <v>67</v>
      </c>
    </row>
    <row r="109" spans="1:8" ht="18" customHeight="1" x14ac:dyDescent="0.25">
      <c r="A109" s="103" t="s">
        <v>204</v>
      </c>
      <c r="B109" s="95"/>
      <c r="C109" s="95"/>
      <c r="D109" s="95"/>
      <c r="E109" s="95"/>
      <c r="F109" s="95"/>
      <c r="G109" s="95"/>
      <c r="H109" s="95"/>
    </row>
    <row r="110" spans="1:8" x14ac:dyDescent="0.25">
      <c r="A110" s="27"/>
      <c r="B110" s="36" t="s">
        <v>88</v>
      </c>
      <c r="C110" s="35" t="s">
        <v>23</v>
      </c>
      <c r="D110" s="27" t="s">
        <v>75</v>
      </c>
      <c r="E110" s="35" t="s">
        <v>14</v>
      </c>
      <c r="F110" s="35" t="s">
        <v>205</v>
      </c>
      <c r="G110" s="24" t="s">
        <v>66</v>
      </c>
      <c r="H110" s="37" t="s">
        <v>67</v>
      </c>
    </row>
    <row r="111" spans="1:8" x14ac:dyDescent="0.25">
      <c r="A111" s="27"/>
      <c r="B111" s="36" t="s">
        <v>88</v>
      </c>
      <c r="C111" s="35" t="s">
        <v>131</v>
      </c>
      <c r="D111" s="27" t="s">
        <v>75</v>
      </c>
      <c r="E111" s="35" t="s">
        <v>14</v>
      </c>
      <c r="F111" s="35" t="s">
        <v>206</v>
      </c>
      <c r="G111" s="21" t="s">
        <v>63</v>
      </c>
      <c r="H111" s="23" t="s">
        <v>69</v>
      </c>
    </row>
    <row r="112" spans="1:8" x14ac:dyDescent="0.25">
      <c r="A112" s="27"/>
      <c r="B112" s="38" t="s">
        <v>143</v>
      </c>
      <c r="C112" s="35" t="s">
        <v>156</v>
      </c>
      <c r="D112" s="27" t="s">
        <v>75</v>
      </c>
      <c r="E112" s="35" t="s">
        <v>14</v>
      </c>
      <c r="F112" s="35" t="s">
        <v>207</v>
      </c>
      <c r="G112" s="21" t="s">
        <v>63</v>
      </c>
      <c r="H112" s="22" t="s">
        <v>64</v>
      </c>
    </row>
    <row r="113" spans="1:8" x14ac:dyDescent="0.25">
      <c r="A113" s="27"/>
      <c r="B113" s="39" t="s">
        <v>4</v>
      </c>
      <c r="C113" s="35" t="s">
        <v>23</v>
      </c>
      <c r="D113" s="27" t="s">
        <v>75</v>
      </c>
      <c r="E113" s="35" t="s">
        <v>14</v>
      </c>
      <c r="F113" s="35" t="s">
        <v>208</v>
      </c>
      <c r="G113" s="21" t="s">
        <v>63</v>
      </c>
      <c r="H113" s="37" t="s">
        <v>67</v>
      </c>
    </row>
    <row r="114" spans="1:8" ht="18" customHeight="1" x14ac:dyDescent="0.25">
      <c r="A114" s="102" t="s">
        <v>209</v>
      </c>
      <c r="B114" s="95"/>
      <c r="C114" s="95"/>
      <c r="D114" s="95"/>
      <c r="E114" s="95"/>
      <c r="F114" s="95"/>
      <c r="G114" s="95"/>
      <c r="H114" s="95"/>
    </row>
    <row r="115" spans="1:8" x14ac:dyDescent="0.25">
      <c r="A115" s="27"/>
      <c r="B115" s="36" t="s">
        <v>88</v>
      </c>
      <c r="C115" s="35" t="s">
        <v>23</v>
      </c>
      <c r="D115" s="27" t="s">
        <v>75</v>
      </c>
      <c r="E115" s="35" t="s">
        <v>210</v>
      </c>
      <c r="F115" s="35" t="s">
        <v>211</v>
      </c>
      <c r="G115" s="21" t="s">
        <v>63</v>
      </c>
      <c r="H115" s="22" t="s">
        <v>64</v>
      </c>
    </row>
    <row r="116" spans="1:8" x14ac:dyDescent="0.25">
      <c r="A116" s="27"/>
      <c r="B116" s="36" t="s">
        <v>88</v>
      </c>
      <c r="C116" s="35" t="s">
        <v>131</v>
      </c>
      <c r="D116" s="27" t="s">
        <v>75</v>
      </c>
      <c r="E116" s="35" t="s">
        <v>210</v>
      </c>
      <c r="F116" s="35" t="s">
        <v>212</v>
      </c>
      <c r="G116" s="24" t="s">
        <v>66</v>
      </c>
      <c r="H116" s="22" t="s">
        <v>64</v>
      </c>
    </row>
    <row r="117" spans="1:8" x14ac:dyDescent="0.25">
      <c r="A117" s="27"/>
      <c r="B117" s="38" t="s">
        <v>143</v>
      </c>
      <c r="C117" s="35" t="s">
        <v>156</v>
      </c>
      <c r="D117" s="27" t="s">
        <v>75</v>
      </c>
      <c r="E117" s="35" t="s">
        <v>210</v>
      </c>
      <c r="F117" s="35" t="s">
        <v>213</v>
      </c>
      <c r="G117" s="24" t="s">
        <v>66</v>
      </c>
      <c r="H117" s="22" t="s">
        <v>64</v>
      </c>
    </row>
    <row r="118" spans="1:8" x14ac:dyDescent="0.25">
      <c r="A118" s="27"/>
      <c r="B118" s="39" t="s">
        <v>4</v>
      </c>
      <c r="C118" s="35" t="s">
        <v>23</v>
      </c>
      <c r="D118" s="27" t="s">
        <v>75</v>
      </c>
      <c r="E118" s="35" t="s">
        <v>210</v>
      </c>
      <c r="F118" s="35" t="s">
        <v>214</v>
      </c>
      <c r="G118" s="24" t="s">
        <v>66</v>
      </c>
      <c r="H118" s="37" t="s">
        <v>67</v>
      </c>
    </row>
    <row r="119" spans="1:8" ht="18" customHeight="1" x14ac:dyDescent="0.25">
      <c r="A119" s="94" t="s">
        <v>215</v>
      </c>
      <c r="B119" s="95"/>
      <c r="C119" s="95"/>
      <c r="D119" s="95"/>
      <c r="E119" s="95"/>
      <c r="F119" s="95"/>
      <c r="G119" s="95"/>
      <c r="H119" s="95"/>
    </row>
    <row r="120" spans="1:8" x14ac:dyDescent="0.25">
      <c r="A120" s="27"/>
      <c r="B120" s="36" t="s">
        <v>88</v>
      </c>
      <c r="C120" s="35" t="s">
        <v>23</v>
      </c>
      <c r="D120" s="27" t="s">
        <v>75</v>
      </c>
      <c r="E120" s="35" t="s">
        <v>16</v>
      </c>
      <c r="F120" s="35" t="s">
        <v>216</v>
      </c>
      <c r="G120" s="21" t="s">
        <v>63</v>
      </c>
      <c r="H120" s="37" t="s">
        <v>67</v>
      </c>
    </row>
    <row r="121" spans="1:8" x14ac:dyDescent="0.25">
      <c r="A121" s="27"/>
      <c r="B121" s="36" t="s">
        <v>88</v>
      </c>
      <c r="C121" s="35" t="s">
        <v>131</v>
      </c>
      <c r="D121" s="27" t="s">
        <v>75</v>
      </c>
      <c r="E121" s="35" t="s">
        <v>16</v>
      </c>
      <c r="F121" s="35" t="s">
        <v>217</v>
      </c>
      <c r="G121" s="21" t="s">
        <v>63</v>
      </c>
      <c r="H121" s="22" t="s">
        <v>64</v>
      </c>
    </row>
    <row r="122" spans="1:8" x14ac:dyDescent="0.25">
      <c r="A122" s="27"/>
      <c r="B122" s="38" t="s">
        <v>143</v>
      </c>
      <c r="C122" s="35" t="s">
        <v>156</v>
      </c>
      <c r="D122" s="27" t="s">
        <v>75</v>
      </c>
      <c r="E122" s="35" t="s">
        <v>16</v>
      </c>
      <c r="F122" s="35" t="s">
        <v>218</v>
      </c>
      <c r="G122" s="21" t="s">
        <v>63</v>
      </c>
      <c r="H122" s="22" t="s">
        <v>64</v>
      </c>
    </row>
    <row r="123" spans="1:8" x14ac:dyDescent="0.25">
      <c r="A123" s="27"/>
      <c r="B123" s="39" t="s">
        <v>4</v>
      </c>
      <c r="C123" s="35" t="s">
        <v>160</v>
      </c>
      <c r="D123" s="27" t="s">
        <v>75</v>
      </c>
      <c r="E123" s="35" t="s">
        <v>16</v>
      </c>
      <c r="F123" s="35" t="s">
        <v>219</v>
      </c>
      <c r="G123" s="21" t="s">
        <v>63</v>
      </c>
      <c r="H123" s="37" t="s">
        <v>67</v>
      </c>
    </row>
    <row r="124" spans="1:8" ht="18" customHeight="1" x14ac:dyDescent="0.25">
      <c r="A124" s="98" t="s">
        <v>220</v>
      </c>
      <c r="B124" s="95"/>
      <c r="C124" s="95"/>
      <c r="D124" s="95"/>
      <c r="E124" s="95"/>
      <c r="F124" s="95"/>
      <c r="G124" s="95"/>
      <c r="H124" s="95"/>
    </row>
    <row r="125" spans="1:8" x14ac:dyDescent="0.25">
      <c r="A125" s="27"/>
      <c r="B125" s="36" t="s">
        <v>88</v>
      </c>
      <c r="C125" s="35" t="s">
        <v>23</v>
      </c>
      <c r="D125" s="27" t="s">
        <v>75</v>
      </c>
      <c r="E125" s="35" t="s">
        <v>221</v>
      </c>
      <c r="F125" s="35" t="s">
        <v>222</v>
      </c>
      <c r="G125" s="21" t="s">
        <v>63</v>
      </c>
      <c r="H125" s="37" t="s">
        <v>67</v>
      </c>
    </row>
    <row r="126" spans="1:8" x14ac:dyDescent="0.25">
      <c r="A126" s="27"/>
      <c r="B126" s="36" t="s">
        <v>88</v>
      </c>
      <c r="C126" s="35" t="s">
        <v>131</v>
      </c>
      <c r="D126" s="27" t="s">
        <v>75</v>
      </c>
      <c r="E126" s="35" t="s">
        <v>221</v>
      </c>
      <c r="F126" s="35" t="s">
        <v>223</v>
      </c>
      <c r="G126" s="24" t="s">
        <v>66</v>
      </c>
      <c r="H126" s="22" t="s">
        <v>64</v>
      </c>
    </row>
    <row r="127" spans="1:8" x14ac:dyDescent="0.25">
      <c r="A127" s="27"/>
      <c r="B127" s="38" t="s">
        <v>143</v>
      </c>
      <c r="C127" s="35" t="s">
        <v>156</v>
      </c>
      <c r="D127" s="27" t="s">
        <v>75</v>
      </c>
      <c r="E127" s="35" t="s">
        <v>221</v>
      </c>
      <c r="F127" s="35" t="s">
        <v>224</v>
      </c>
      <c r="G127" s="21" t="s">
        <v>63</v>
      </c>
      <c r="H127" s="23" t="s">
        <v>69</v>
      </c>
    </row>
    <row r="128" spans="1:8" x14ac:dyDescent="0.25">
      <c r="A128" s="27"/>
      <c r="B128" s="39" t="s">
        <v>4</v>
      </c>
      <c r="C128" s="35" t="s">
        <v>160</v>
      </c>
      <c r="D128" s="27" t="s">
        <v>75</v>
      </c>
      <c r="E128" s="35" t="s">
        <v>221</v>
      </c>
      <c r="F128" s="35" t="s">
        <v>225</v>
      </c>
      <c r="G128" s="21" t="s">
        <v>63</v>
      </c>
      <c r="H128" s="37" t="s">
        <v>67</v>
      </c>
    </row>
    <row r="129" spans="1:8" x14ac:dyDescent="0.25">
      <c r="A129" s="27"/>
      <c r="B129" s="39" t="s">
        <v>4</v>
      </c>
      <c r="C129" s="35" t="s">
        <v>160</v>
      </c>
      <c r="D129" s="27" t="s">
        <v>75</v>
      </c>
      <c r="E129" s="35" t="s">
        <v>226</v>
      </c>
      <c r="F129" s="35" t="s">
        <v>425</v>
      </c>
      <c r="G129" s="21" t="s">
        <v>63</v>
      </c>
      <c r="H129" s="37" t="s">
        <v>67</v>
      </c>
    </row>
  </sheetData>
  <mergeCells count="9">
    <mergeCell ref="A119:H119"/>
    <mergeCell ref="A103:H103"/>
    <mergeCell ref="A95:H95"/>
    <mergeCell ref="A124:H124"/>
    <mergeCell ref="A1:H1"/>
    <mergeCell ref="A3:H3"/>
    <mergeCell ref="A82:H82"/>
    <mergeCell ref="A114:H114"/>
    <mergeCell ref="A109:H109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>
    <tabColor theme="5" tint="0.59999389629810485"/>
  </sheetPr>
  <dimension ref="A1:F116"/>
  <sheetViews>
    <sheetView zoomScaleNormal="100" workbookViewId="0">
      <selection activeCell="K79" sqref="K79"/>
    </sheetView>
  </sheetViews>
  <sheetFormatPr baseColWidth="10" defaultColWidth="8.7109375" defaultRowHeight="15" x14ac:dyDescent="0.25"/>
  <cols>
    <col min="1" max="1" width="14" style="2" customWidth="1"/>
    <col min="2" max="2" width="26" style="2" customWidth="1"/>
    <col min="3" max="3" width="6" style="2" customWidth="1"/>
    <col min="4" max="4" width="36" style="2" customWidth="1"/>
    <col min="5" max="5" width="8" style="2" customWidth="1"/>
    <col min="6" max="6" width="16" style="2" customWidth="1"/>
    <col min="7" max="7" width="8.7109375" style="2" customWidth="1"/>
    <col min="8" max="16384" width="8.7109375" style="2"/>
  </cols>
  <sheetData>
    <row r="1" spans="1:6" ht="21.75" customHeight="1" x14ac:dyDescent="0.25">
      <c r="A1" s="99" t="s">
        <v>228</v>
      </c>
      <c r="B1" s="89"/>
      <c r="C1" s="89"/>
      <c r="D1" s="89"/>
      <c r="E1" s="89"/>
      <c r="F1" s="89"/>
    </row>
    <row r="2" spans="1:6" ht="18" customHeight="1" x14ac:dyDescent="0.25">
      <c r="A2" s="104" t="s">
        <v>229</v>
      </c>
      <c r="B2" s="95"/>
      <c r="C2" s="95"/>
      <c r="D2" s="95"/>
      <c r="E2" s="95"/>
      <c r="F2" s="95"/>
    </row>
    <row r="3" spans="1:6" x14ac:dyDescent="0.25">
      <c r="A3" s="40" t="s">
        <v>1</v>
      </c>
      <c r="B3" s="40" t="s">
        <v>53</v>
      </c>
      <c r="C3" s="40" t="s">
        <v>54</v>
      </c>
      <c r="D3" s="40" t="s">
        <v>56</v>
      </c>
      <c r="E3" s="40" t="s">
        <v>57</v>
      </c>
      <c r="F3" s="40" t="s">
        <v>58</v>
      </c>
    </row>
    <row r="4" spans="1:6" x14ac:dyDescent="0.25">
      <c r="A4" s="41" t="s">
        <v>9</v>
      </c>
      <c r="B4" s="35" t="s">
        <v>23</v>
      </c>
      <c r="C4" s="27"/>
      <c r="D4" s="35" t="s">
        <v>161</v>
      </c>
      <c r="E4" s="24" t="s">
        <v>66</v>
      </c>
      <c r="F4" s="37" t="s">
        <v>67</v>
      </c>
    </row>
    <row r="5" spans="1:6" x14ac:dyDescent="0.25">
      <c r="A5" s="41" t="s">
        <v>9</v>
      </c>
      <c r="B5" s="35" t="s">
        <v>23</v>
      </c>
      <c r="C5" s="27" t="s">
        <v>61</v>
      </c>
      <c r="D5" s="35" t="s">
        <v>162</v>
      </c>
      <c r="E5" s="24" t="s">
        <v>66</v>
      </c>
      <c r="F5" s="37" t="s">
        <v>67</v>
      </c>
    </row>
    <row r="6" spans="1:6" x14ac:dyDescent="0.25">
      <c r="A6" s="41" t="s">
        <v>9</v>
      </c>
      <c r="B6" s="35" t="s">
        <v>23</v>
      </c>
      <c r="C6" s="27" t="s">
        <v>61</v>
      </c>
      <c r="D6" s="35" t="s">
        <v>164</v>
      </c>
      <c r="E6" s="24" t="s">
        <v>66</v>
      </c>
      <c r="F6" s="37" t="s">
        <v>67</v>
      </c>
    </row>
    <row r="7" spans="1:6" x14ac:dyDescent="0.25">
      <c r="A7" s="41" t="s">
        <v>9</v>
      </c>
      <c r="B7" s="35" t="s">
        <v>23</v>
      </c>
      <c r="C7" s="27" t="s">
        <v>70</v>
      </c>
      <c r="D7" s="35" t="s">
        <v>165</v>
      </c>
      <c r="E7" s="21" t="s">
        <v>63</v>
      </c>
      <c r="F7" s="37" t="s">
        <v>67</v>
      </c>
    </row>
    <row r="8" spans="1:6" x14ac:dyDescent="0.25">
      <c r="A8" s="41" t="s">
        <v>9</v>
      </c>
      <c r="B8" s="35" t="s">
        <v>23</v>
      </c>
      <c r="C8" s="27" t="s">
        <v>70</v>
      </c>
      <c r="D8" s="35" t="s">
        <v>166</v>
      </c>
      <c r="E8" s="24" t="s">
        <v>66</v>
      </c>
      <c r="F8" s="37" t="s">
        <v>67</v>
      </c>
    </row>
    <row r="9" spans="1:6" x14ac:dyDescent="0.25">
      <c r="A9" s="41" t="s">
        <v>9</v>
      </c>
      <c r="B9" s="35" t="s">
        <v>23</v>
      </c>
      <c r="C9" s="27" t="s">
        <v>99</v>
      </c>
      <c r="D9" s="35" t="s">
        <v>167</v>
      </c>
      <c r="E9" s="24" t="s">
        <v>66</v>
      </c>
      <c r="F9" s="37" t="s">
        <v>67</v>
      </c>
    </row>
    <row r="10" spans="1:6" x14ac:dyDescent="0.25">
      <c r="A10" s="41" t="s">
        <v>9</v>
      </c>
      <c r="B10" s="35" t="s">
        <v>23</v>
      </c>
      <c r="C10" s="27" t="s">
        <v>99</v>
      </c>
      <c r="D10" s="35" t="s">
        <v>169</v>
      </c>
      <c r="E10" s="24" t="s">
        <v>66</v>
      </c>
      <c r="F10" s="22" t="s">
        <v>64</v>
      </c>
    </row>
    <row r="11" spans="1:6" x14ac:dyDescent="0.25">
      <c r="A11" s="41" t="s">
        <v>9</v>
      </c>
      <c r="B11" s="35" t="s">
        <v>24</v>
      </c>
      <c r="C11" s="27" t="s">
        <v>61</v>
      </c>
      <c r="D11" s="35" t="s">
        <v>170</v>
      </c>
      <c r="E11" s="21" t="s">
        <v>63</v>
      </c>
      <c r="F11" s="22" t="s">
        <v>64</v>
      </c>
    </row>
    <row r="12" spans="1:6" x14ac:dyDescent="0.25">
      <c r="A12" s="41" t="s">
        <v>9</v>
      </c>
      <c r="B12" s="35" t="s">
        <v>24</v>
      </c>
      <c r="C12" s="27" t="s">
        <v>70</v>
      </c>
      <c r="D12" s="35" t="s">
        <v>171</v>
      </c>
      <c r="E12" s="21" t="s">
        <v>63</v>
      </c>
      <c r="F12" s="37" t="s">
        <v>67</v>
      </c>
    </row>
    <row r="13" spans="1:6" x14ac:dyDescent="0.25">
      <c r="A13" s="41" t="s">
        <v>9</v>
      </c>
      <c r="B13" s="35" t="s">
        <v>25</v>
      </c>
      <c r="C13" s="27"/>
      <c r="D13" s="35" t="s">
        <v>172</v>
      </c>
      <c r="E13" s="24" t="s">
        <v>66</v>
      </c>
      <c r="F13" s="37" t="s">
        <v>67</v>
      </c>
    </row>
    <row r="14" spans="1:6" x14ac:dyDescent="0.25">
      <c r="A14" s="41" t="s">
        <v>9</v>
      </c>
      <c r="B14" s="35" t="s">
        <v>26</v>
      </c>
      <c r="C14" s="27" t="s">
        <v>101</v>
      </c>
      <c r="D14" s="35" t="s">
        <v>173</v>
      </c>
      <c r="E14" s="24" t="s">
        <v>66</v>
      </c>
      <c r="F14" s="37" t="s">
        <v>67</v>
      </c>
    </row>
    <row r="15" spans="1:6" x14ac:dyDescent="0.25">
      <c r="A15" s="41" t="s">
        <v>10</v>
      </c>
      <c r="B15" s="35" t="s">
        <v>23</v>
      </c>
      <c r="C15" s="27" t="s">
        <v>61</v>
      </c>
      <c r="D15" s="35" t="s">
        <v>188</v>
      </c>
      <c r="E15" s="24" t="s">
        <v>66</v>
      </c>
      <c r="F15" s="37" t="s">
        <v>67</v>
      </c>
    </row>
    <row r="16" spans="1:6" x14ac:dyDescent="0.25">
      <c r="A16" s="41" t="s">
        <v>11</v>
      </c>
      <c r="B16" s="35" t="s">
        <v>23</v>
      </c>
      <c r="C16" s="27"/>
      <c r="D16" s="35" t="s">
        <v>196</v>
      </c>
      <c r="E16" s="21" t="s">
        <v>63</v>
      </c>
      <c r="F16" s="37" t="s">
        <v>67</v>
      </c>
    </row>
    <row r="17" spans="1:6" x14ac:dyDescent="0.25">
      <c r="A17" s="41" t="s">
        <v>13</v>
      </c>
      <c r="B17" s="35" t="s">
        <v>23</v>
      </c>
      <c r="C17" s="27"/>
      <c r="D17" s="35" t="s">
        <v>203</v>
      </c>
      <c r="E17" s="21" t="s">
        <v>63</v>
      </c>
      <c r="F17" s="37" t="s">
        <v>67</v>
      </c>
    </row>
    <row r="18" spans="1:6" x14ac:dyDescent="0.25">
      <c r="A18" s="41" t="s">
        <v>14</v>
      </c>
      <c r="B18" s="35" t="s">
        <v>23</v>
      </c>
      <c r="C18" s="27"/>
      <c r="D18" s="35" t="s">
        <v>208</v>
      </c>
      <c r="E18" s="21" t="s">
        <v>63</v>
      </c>
      <c r="F18" s="37" t="s">
        <v>67</v>
      </c>
    </row>
    <row r="19" spans="1:6" x14ac:dyDescent="0.25">
      <c r="A19" s="41" t="s">
        <v>15</v>
      </c>
      <c r="B19" s="35" t="s">
        <v>23</v>
      </c>
      <c r="C19" s="27"/>
      <c r="D19" s="35" t="s">
        <v>214</v>
      </c>
      <c r="E19" s="24" t="s">
        <v>66</v>
      </c>
      <c r="F19" s="37" t="s">
        <v>67</v>
      </c>
    </row>
    <row r="20" spans="1:6" x14ac:dyDescent="0.25">
      <c r="A20" s="41" t="s">
        <v>16</v>
      </c>
      <c r="B20" s="35" t="s">
        <v>23</v>
      </c>
      <c r="C20" s="27"/>
      <c r="D20" s="35" t="s">
        <v>219</v>
      </c>
      <c r="E20" s="21" t="s">
        <v>63</v>
      </c>
      <c r="F20" s="37" t="s">
        <v>67</v>
      </c>
    </row>
    <row r="21" spans="1:6" x14ac:dyDescent="0.25">
      <c r="A21" s="41" t="s">
        <v>12</v>
      </c>
      <c r="B21" s="35" t="s">
        <v>23</v>
      </c>
      <c r="C21" s="27"/>
      <c r="D21" s="35" t="s">
        <v>225</v>
      </c>
      <c r="E21" s="21" t="s">
        <v>63</v>
      </c>
      <c r="F21" s="37" t="s">
        <v>67</v>
      </c>
    </row>
    <row r="22" spans="1:6" x14ac:dyDescent="0.25">
      <c r="A22" s="41" t="s">
        <v>12</v>
      </c>
      <c r="B22" s="35" t="s">
        <v>23</v>
      </c>
      <c r="C22" s="27"/>
      <c r="D22" s="35" t="s">
        <v>187</v>
      </c>
      <c r="E22" s="21" t="s">
        <v>63</v>
      </c>
      <c r="F22" s="37" t="s">
        <v>67</v>
      </c>
    </row>
    <row r="23" spans="1:6" x14ac:dyDescent="0.25">
      <c r="A23" s="41" t="s">
        <v>12</v>
      </c>
      <c r="B23" s="35" t="s">
        <v>23</v>
      </c>
      <c r="C23" s="27"/>
      <c r="D23" s="35" t="s">
        <v>227</v>
      </c>
      <c r="E23" s="21" t="s">
        <v>63</v>
      </c>
      <c r="F23" s="37" t="s">
        <v>67</v>
      </c>
    </row>
    <row r="25" spans="1:6" ht="18" customHeight="1" x14ac:dyDescent="0.25">
      <c r="A25" s="101" t="s">
        <v>230</v>
      </c>
      <c r="B25" s="95"/>
      <c r="C25" s="95"/>
      <c r="D25" s="95"/>
      <c r="E25" s="95"/>
      <c r="F25" s="95"/>
    </row>
    <row r="26" spans="1:6" x14ac:dyDescent="0.25">
      <c r="A26" s="40" t="s">
        <v>1</v>
      </c>
      <c r="B26" s="40" t="s">
        <v>53</v>
      </c>
      <c r="C26" s="40" t="s">
        <v>54</v>
      </c>
      <c r="D26" s="40" t="s">
        <v>56</v>
      </c>
      <c r="E26" s="40" t="s">
        <v>57</v>
      </c>
      <c r="F26" s="40" t="s">
        <v>58</v>
      </c>
    </row>
    <row r="27" spans="1:6" x14ac:dyDescent="0.25">
      <c r="A27" s="42" t="s">
        <v>9</v>
      </c>
      <c r="B27" s="35" t="s">
        <v>144</v>
      </c>
      <c r="C27" s="27"/>
      <c r="D27" s="35" t="s">
        <v>145</v>
      </c>
      <c r="E27" s="21" t="s">
        <v>63</v>
      </c>
      <c r="F27" s="23" t="s">
        <v>69</v>
      </c>
    </row>
    <row r="28" spans="1:6" x14ac:dyDescent="0.25">
      <c r="A28" s="42" t="s">
        <v>9</v>
      </c>
      <c r="B28" s="35" t="s">
        <v>146</v>
      </c>
      <c r="C28" s="27" t="s">
        <v>103</v>
      </c>
      <c r="D28" s="35" t="s">
        <v>147</v>
      </c>
      <c r="E28" s="24" t="s">
        <v>66</v>
      </c>
      <c r="F28" s="22" t="s">
        <v>64</v>
      </c>
    </row>
    <row r="29" spans="1:6" x14ac:dyDescent="0.25">
      <c r="A29" s="42" t="s">
        <v>9</v>
      </c>
      <c r="B29" s="35" t="s">
        <v>146</v>
      </c>
      <c r="C29" s="27" t="s">
        <v>118</v>
      </c>
      <c r="D29" s="35" t="s">
        <v>148</v>
      </c>
      <c r="E29" s="24" t="s">
        <v>66</v>
      </c>
      <c r="F29" s="37" t="s">
        <v>67</v>
      </c>
    </row>
    <row r="30" spans="1:6" x14ac:dyDescent="0.25">
      <c r="A30" s="42" t="s">
        <v>9</v>
      </c>
      <c r="B30" s="35" t="s">
        <v>149</v>
      </c>
      <c r="C30" s="27" t="s">
        <v>99</v>
      </c>
      <c r="D30" s="35" t="s">
        <v>150</v>
      </c>
      <c r="E30" s="24" t="s">
        <v>66</v>
      </c>
      <c r="F30" s="37" t="s">
        <v>67</v>
      </c>
    </row>
    <row r="31" spans="1:6" x14ac:dyDescent="0.25">
      <c r="A31" s="42" t="s">
        <v>9</v>
      </c>
      <c r="B31" s="35" t="s">
        <v>149</v>
      </c>
      <c r="C31" s="27" t="s">
        <v>101</v>
      </c>
      <c r="D31" s="35" t="s">
        <v>151</v>
      </c>
      <c r="E31" s="21" t="s">
        <v>63</v>
      </c>
      <c r="F31" s="22" t="s">
        <v>64</v>
      </c>
    </row>
    <row r="32" spans="1:6" x14ac:dyDescent="0.25">
      <c r="A32" s="42" t="s">
        <v>9</v>
      </c>
      <c r="B32" s="35" t="s">
        <v>152</v>
      </c>
      <c r="C32" s="27" t="s">
        <v>61</v>
      </c>
      <c r="D32" s="35" t="s">
        <v>153</v>
      </c>
      <c r="E32" s="21" t="s">
        <v>63</v>
      </c>
      <c r="F32" s="37" t="s">
        <v>67</v>
      </c>
    </row>
    <row r="33" spans="1:6" x14ac:dyDescent="0.25">
      <c r="A33" s="42" t="s">
        <v>9</v>
      </c>
      <c r="B33" s="35" t="s">
        <v>152</v>
      </c>
      <c r="C33" s="27" t="s">
        <v>70</v>
      </c>
      <c r="D33" s="35" t="s">
        <v>154</v>
      </c>
      <c r="E33" s="24" t="s">
        <v>66</v>
      </c>
      <c r="F33" s="37" t="s">
        <v>67</v>
      </c>
    </row>
    <row r="34" spans="1:6" ht="24" customHeight="1" x14ac:dyDescent="0.25">
      <c r="A34" s="42" t="s">
        <v>9</v>
      </c>
      <c r="B34" s="35" t="s">
        <v>152</v>
      </c>
      <c r="C34" s="27" t="s">
        <v>99</v>
      </c>
      <c r="D34" s="35" t="s">
        <v>155</v>
      </c>
      <c r="E34" s="21" t="s">
        <v>63</v>
      </c>
      <c r="F34" s="37" t="s">
        <v>67</v>
      </c>
    </row>
    <row r="35" spans="1:6" x14ac:dyDescent="0.25">
      <c r="A35" s="42" t="s">
        <v>9</v>
      </c>
      <c r="B35" s="35" t="s">
        <v>156</v>
      </c>
      <c r="C35" s="27" t="s">
        <v>61</v>
      </c>
      <c r="D35" s="35" t="s">
        <v>157</v>
      </c>
      <c r="E35" s="21" t="s">
        <v>63</v>
      </c>
      <c r="F35" s="37" t="s">
        <v>67</v>
      </c>
    </row>
    <row r="36" spans="1:6" x14ac:dyDescent="0.25">
      <c r="A36" s="42" t="s">
        <v>9</v>
      </c>
      <c r="B36" s="35" t="s">
        <v>156</v>
      </c>
      <c r="C36" s="27" t="s">
        <v>70</v>
      </c>
      <c r="D36" s="35" t="s">
        <v>158</v>
      </c>
      <c r="E36" s="21" t="s">
        <v>63</v>
      </c>
      <c r="F36" s="22" t="s">
        <v>64</v>
      </c>
    </row>
    <row r="37" spans="1:6" x14ac:dyDescent="0.25">
      <c r="A37" s="42" t="s">
        <v>9</v>
      </c>
      <c r="B37" s="35" t="s">
        <v>156</v>
      </c>
      <c r="C37" s="27" t="s">
        <v>114</v>
      </c>
      <c r="D37" s="35" t="s">
        <v>159</v>
      </c>
      <c r="E37" s="21" t="s">
        <v>63</v>
      </c>
      <c r="F37" s="37" t="s">
        <v>67</v>
      </c>
    </row>
    <row r="38" spans="1:6" x14ac:dyDescent="0.25">
      <c r="A38" s="42" t="s">
        <v>10</v>
      </c>
      <c r="B38" s="35" t="s">
        <v>149</v>
      </c>
      <c r="C38" s="27" t="s">
        <v>70</v>
      </c>
      <c r="D38" s="35" t="s">
        <v>184</v>
      </c>
      <c r="E38" s="21" t="s">
        <v>63</v>
      </c>
      <c r="F38" s="23" t="s">
        <v>69</v>
      </c>
    </row>
    <row r="39" spans="1:6" x14ac:dyDescent="0.25">
      <c r="A39" s="42" t="s">
        <v>10</v>
      </c>
      <c r="B39" s="35" t="s">
        <v>156</v>
      </c>
      <c r="C39" s="27" t="s">
        <v>61</v>
      </c>
      <c r="D39" s="35" t="s">
        <v>185</v>
      </c>
      <c r="E39" s="21" t="s">
        <v>63</v>
      </c>
      <c r="F39" s="22" t="s">
        <v>64</v>
      </c>
    </row>
    <row r="40" spans="1:6" x14ac:dyDescent="0.25">
      <c r="A40" s="42" t="s">
        <v>11</v>
      </c>
      <c r="B40" s="35" t="s">
        <v>156</v>
      </c>
      <c r="C40" s="27" t="s">
        <v>61</v>
      </c>
      <c r="D40" s="35" t="s">
        <v>194</v>
      </c>
      <c r="E40" s="24" t="s">
        <v>66</v>
      </c>
      <c r="F40" s="22" t="s">
        <v>64</v>
      </c>
    </row>
    <row r="41" spans="1:6" x14ac:dyDescent="0.25">
      <c r="A41" s="42" t="s">
        <v>11</v>
      </c>
      <c r="B41" s="35" t="s">
        <v>156</v>
      </c>
      <c r="C41" s="27" t="s">
        <v>70</v>
      </c>
      <c r="D41" s="35" t="s">
        <v>195</v>
      </c>
      <c r="E41" s="21" t="s">
        <v>63</v>
      </c>
      <c r="F41" s="22" t="s">
        <v>64</v>
      </c>
    </row>
    <row r="42" spans="1:6" x14ac:dyDescent="0.25">
      <c r="A42" s="42" t="s">
        <v>13</v>
      </c>
      <c r="B42" s="35" t="s">
        <v>156</v>
      </c>
      <c r="C42" s="27"/>
      <c r="D42" s="35" t="s">
        <v>202</v>
      </c>
      <c r="E42" s="21" t="s">
        <v>63</v>
      </c>
      <c r="F42" s="22" t="s">
        <v>64</v>
      </c>
    </row>
    <row r="43" spans="1:6" x14ac:dyDescent="0.25">
      <c r="A43" s="42" t="s">
        <v>14</v>
      </c>
      <c r="B43" s="35" t="s">
        <v>156</v>
      </c>
      <c r="C43" s="27"/>
      <c r="D43" s="35" t="s">
        <v>207</v>
      </c>
      <c r="E43" s="21" t="s">
        <v>63</v>
      </c>
      <c r="F43" s="22" t="s">
        <v>64</v>
      </c>
    </row>
    <row r="44" spans="1:6" x14ac:dyDescent="0.25">
      <c r="A44" s="42" t="s">
        <v>15</v>
      </c>
      <c r="B44" s="35" t="s">
        <v>156</v>
      </c>
      <c r="C44" s="27"/>
      <c r="D44" s="35" t="s">
        <v>213</v>
      </c>
      <c r="E44" s="24" t="s">
        <v>66</v>
      </c>
      <c r="F44" s="22" t="s">
        <v>64</v>
      </c>
    </row>
    <row r="45" spans="1:6" x14ac:dyDescent="0.25">
      <c r="A45" s="42" t="s">
        <v>16</v>
      </c>
      <c r="B45" s="35" t="s">
        <v>156</v>
      </c>
      <c r="C45" s="27"/>
      <c r="D45" s="35" t="s">
        <v>218</v>
      </c>
      <c r="E45" s="21" t="s">
        <v>63</v>
      </c>
      <c r="F45" s="22" t="s">
        <v>64</v>
      </c>
    </row>
    <row r="46" spans="1:6" x14ac:dyDescent="0.25">
      <c r="A46" s="42" t="s">
        <v>12</v>
      </c>
      <c r="B46" s="35" t="s">
        <v>156</v>
      </c>
      <c r="C46" s="27"/>
      <c r="D46" s="35" t="s">
        <v>224</v>
      </c>
      <c r="E46" s="21" t="s">
        <v>63</v>
      </c>
      <c r="F46" s="23" t="s">
        <v>69</v>
      </c>
    </row>
    <row r="48" spans="1:6" ht="18" customHeight="1" x14ac:dyDescent="0.25">
      <c r="A48" s="97" t="s">
        <v>231</v>
      </c>
      <c r="B48" s="95"/>
      <c r="C48" s="95"/>
      <c r="D48" s="95"/>
      <c r="E48" s="95"/>
      <c r="F48" s="95"/>
    </row>
    <row r="49" spans="1:6" x14ac:dyDescent="0.25">
      <c r="A49" s="40" t="s">
        <v>1</v>
      </c>
      <c r="B49" s="40" t="s">
        <v>53</v>
      </c>
      <c r="C49" s="40" t="s">
        <v>54</v>
      </c>
      <c r="D49" s="40" t="s">
        <v>56</v>
      </c>
      <c r="E49" s="40" t="s">
        <v>57</v>
      </c>
      <c r="F49" s="40" t="s">
        <v>58</v>
      </c>
    </row>
    <row r="50" spans="1:6" x14ac:dyDescent="0.25">
      <c r="A50" s="43" t="s">
        <v>9</v>
      </c>
      <c r="B50" s="35" t="s">
        <v>23</v>
      </c>
      <c r="C50" s="27" t="s">
        <v>61</v>
      </c>
      <c r="D50" s="35" t="s">
        <v>97</v>
      </c>
      <c r="E50" s="21" t="s">
        <v>63</v>
      </c>
      <c r="F50" s="22" t="s">
        <v>64</v>
      </c>
    </row>
    <row r="51" spans="1:6" x14ac:dyDescent="0.25">
      <c r="A51" s="43" t="s">
        <v>9</v>
      </c>
      <c r="B51" s="35" t="s">
        <v>23</v>
      </c>
      <c r="C51" s="27" t="s">
        <v>70</v>
      </c>
      <c r="D51" s="35" t="s">
        <v>98</v>
      </c>
      <c r="E51" s="21" t="s">
        <v>63</v>
      </c>
      <c r="F51" s="22" t="s">
        <v>64</v>
      </c>
    </row>
    <row r="52" spans="1:6" x14ac:dyDescent="0.25">
      <c r="A52" s="43" t="s">
        <v>9</v>
      </c>
      <c r="B52" s="35" t="s">
        <v>23</v>
      </c>
      <c r="C52" s="27" t="s">
        <v>99</v>
      </c>
      <c r="D52" s="35" t="s">
        <v>100</v>
      </c>
      <c r="E52" s="24" t="s">
        <v>66</v>
      </c>
      <c r="F52" s="22" t="s">
        <v>64</v>
      </c>
    </row>
    <row r="53" spans="1:6" x14ac:dyDescent="0.25">
      <c r="A53" s="43" t="s">
        <v>9</v>
      </c>
      <c r="B53" s="35" t="s">
        <v>23</v>
      </c>
      <c r="C53" s="27" t="s">
        <v>101</v>
      </c>
      <c r="D53" s="35" t="s">
        <v>102</v>
      </c>
      <c r="E53" s="21" t="s">
        <v>63</v>
      </c>
      <c r="F53" s="37" t="s">
        <v>67</v>
      </c>
    </row>
    <row r="54" spans="1:6" x14ac:dyDescent="0.25">
      <c r="A54" s="43" t="s">
        <v>9</v>
      </c>
      <c r="B54" s="35" t="s">
        <v>23</v>
      </c>
      <c r="C54" s="27" t="s">
        <v>103</v>
      </c>
      <c r="D54" s="35" t="s">
        <v>104</v>
      </c>
      <c r="E54" s="21" t="s">
        <v>63</v>
      </c>
      <c r="F54" s="37" t="s">
        <v>67</v>
      </c>
    </row>
    <row r="55" spans="1:6" x14ac:dyDescent="0.25">
      <c r="A55" s="43" t="s">
        <v>9</v>
      </c>
      <c r="B55" s="35" t="s">
        <v>105</v>
      </c>
      <c r="C55" s="27"/>
      <c r="D55" s="35" t="s">
        <v>106</v>
      </c>
      <c r="E55" s="21" t="s">
        <v>63</v>
      </c>
      <c r="F55" s="37" t="s">
        <v>67</v>
      </c>
    </row>
    <row r="56" spans="1:6" x14ac:dyDescent="0.25">
      <c r="A56" s="43" t="s">
        <v>9</v>
      </c>
      <c r="B56" s="35" t="s">
        <v>27</v>
      </c>
      <c r="C56" s="27"/>
      <c r="D56" s="35" t="s">
        <v>107</v>
      </c>
      <c r="E56" s="24" t="s">
        <v>66</v>
      </c>
      <c r="F56" s="37" t="s">
        <v>67</v>
      </c>
    </row>
    <row r="57" spans="1:6" x14ac:dyDescent="0.25">
      <c r="A57" s="43" t="s">
        <v>9</v>
      </c>
      <c r="B57" s="35" t="s">
        <v>24</v>
      </c>
      <c r="C57" s="27" t="s">
        <v>61</v>
      </c>
      <c r="D57" s="35" t="s">
        <v>108</v>
      </c>
      <c r="E57" s="24" t="s">
        <v>66</v>
      </c>
      <c r="F57" s="37" t="s">
        <v>67</v>
      </c>
    </row>
    <row r="58" spans="1:6" x14ac:dyDescent="0.25">
      <c r="A58" s="43" t="s">
        <v>9</v>
      </c>
      <c r="B58" s="35" t="s">
        <v>24</v>
      </c>
      <c r="C58" s="27" t="s">
        <v>70</v>
      </c>
      <c r="D58" s="35" t="s">
        <v>109</v>
      </c>
      <c r="E58" s="24" t="s">
        <v>66</v>
      </c>
      <c r="F58" s="23" t="s">
        <v>69</v>
      </c>
    </row>
    <row r="59" spans="1:6" x14ac:dyDescent="0.25">
      <c r="A59" s="43" t="s">
        <v>9</v>
      </c>
      <c r="B59" s="35" t="s">
        <v>24</v>
      </c>
      <c r="C59" s="27" t="s">
        <v>99</v>
      </c>
      <c r="D59" s="35" t="s">
        <v>110</v>
      </c>
      <c r="E59" s="21" t="s">
        <v>63</v>
      </c>
      <c r="F59" s="37" t="s">
        <v>67</v>
      </c>
    </row>
    <row r="60" spans="1:6" x14ac:dyDescent="0.25">
      <c r="A60" s="43" t="s">
        <v>9</v>
      </c>
      <c r="B60" s="35" t="s">
        <v>24</v>
      </c>
      <c r="C60" s="27" t="s">
        <v>101</v>
      </c>
      <c r="D60" s="35" t="s">
        <v>111</v>
      </c>
      <c r="E60" s="24" t="s">
        <v>66</v>
      </c>
      <c r="F60" s="23" t="s">
        <v>69</v>
      </c>
    </row>
    <row r="61" spans="1:6" x14ac:dyDescent="0.25">
      <c r="A61" s="43" t="s">
        <v>9</v>
      </c>
      <c r="B61" s="35" t="s">
        <v>112</v>
      </c>
      <c r="C61" s="27" t="s">
        <v>122</v>
      </c>
      <c r="D61" s="35" t="s">
        <v>123</v>
      </c>
      <c r="E61" s="21" t="s">
        <v>63</v>
      </c>
      <c r="F61" s="23" t="s">
        <v>69</v>
      </c>
    </row>
    <row r="62" spans="1:6" x14ac:dyDescent="0.25">
      <c r="A62" s="43" t="s">
        <v>9</v>
      </c>
      <c r="B62" s="35" t="s">
        <v>112</v>
      </c>
      <c r="C62" s="27" t="s">
        <v>103</v>
      </c>
      <c r="D62" s="35" t="s">
        <v>113</v>
      </c>
      <c r="E62" s="21" t="s">
        <v>63</v>
      </c>
      <c r="F62" s="23" t="s">
        <v>69</v>
      </c>
    </row>
    <row r="63" spans="1:6" x14ac:dyDescent="0.25">
      <c r="A63" s="43" t="s">
        <v>9</v>
      </c>
      <c r="B63" s="35" t="s">
        <v>112</v>
      </c>
      <c r="C63" s="27" t="s">
        <v>114</v>
      </c>
      <c r="D63" s="35" t="s">
        <v>115</v>
      </c>
      <c r="E63" s="24" t="s">
        <v>66</v>
      </c>
      <c r="F63" s="23" t="s">
        <v>69</v>
      </c>
    </row>
    <row r="64" spans="1:6" x14ac:dyDescent="0.25">
      <c r="A64" s="43" t="s">
        <v>9</v>
      </c>
      <c r="B64" s="35" t="s">
        <v>112</v>
      </c>
      <c r="C64" s="27" t="s">
        <v>116</v>
      </c>
      <c r="D64" s="35" t="s">
        <v>117</v>
      </c>
      <c r="E64" s="24" t="s">
        <v>66</v>
      </c>
      <c r="F64" s="23" t="s">
        <v>69</v>
      </c>
    </row>
    <row r="65" spans="1:6" x14ac:dyDescent="0.25">
      <c r="A65" s="43" t="s">
        <v>9</v>
      </c>
      <c r="B65" s="35" t="s">
        <v>112</v>
      </c>
      <c r="C65" s="27" t="s">
        <v>118</v>
      </c>
      <c r="D65" s="35" t="s">
        <v>119</v>
      </c>
      <c r="E65" s="21" t="s">
        <v>63</v>
      </c>
      <c r="F65" s="23" t="s">
        <v>69</v>
      </c>
    </row>
    <row r="66" spans="1:6" x14ac:dyDescent="0.25">
      <c r="A66" s="43" t="s">
        <v>9</v>
      </c>
      <c r="B66" s="35" t="s">
        <v>112</v>
      </c>
      <c r="C66" s="27" t="s">
        <v>120</v>
      </c>
      <c r="D66" s="35" t="s">
        <v>121</v>
      </c>
      <c r="E66" s="24" t="s">
        <v>66</v>
      </c>
      <c r="F66" s="37" t="s">
        <v>67</v>
      </c>
    </row>
    <row r="67" spans="1:6" x14ac:dyDescent="0.25">
      <c r="A67" s="43" t="s">
        <v>9</v>
      </c>
      <c r="B67" s="35" t="s">
        <v>89</v>
      </c>
      <c r="C67" s="27"/>
      <c r="D67" s="35" t="s">
        <v>90</v>
      </c>
      <c r="E67" s="21" t="s">
        <v>63</v>
      </c>
      <c r="F67" s="22" t="s">
        <v>64</v>
      </c>
    </row>
    <row r="68" spans="1:6" x14ac:dyDescent="0.25">
      <c r="A68" s="43" t="s">
        <v>9</v>
      </c>
      <c r="B68" s="35" t="s">
        <v>93</v>
      </c>
      <c r="C68" s="27" t="s">
        <v>61</v>
      </c>
      <c r="D68" s="35" t="s">
        <v>94</v>
      </c>
      <c r="E68" s="24" t="s">
        <v>66</v>
      </c>
      <c r="F68" s="37" t="s">
        <v>67</v>
      </c>
    </row>
    <row r="69" spans="1:6" x14ac:dyDescent="0.25">
      <c r="A69" s="43" t="s">
        <v>9</v>
      </c>
      <c r="B69" s="35" t="s">
        <v>93</v>
      </c>
      <c r="C69" s="27" t="s">
        <v>70</v>
      </c>
      <c r="D69" s="35" t="s">
        <v>232</v>
      </c>
      <c r="E69" s="21" t="s">
        <v>63</v>
      </c>
      <c r="F69" s="37" t="s">
        <v>67</v>
      </c>
    </row>
    <row r="70" spans="1:6" ht="24" customHeight="1" x14ac:dyDescent="0.25">
      <c r="A70" s="43" t="s">
        <v>9</v>
      </c>
      <c r="B70" s="35" t="s">
        <v>124</v>
      </c>
      <c r="C70" s="27" t="s">
        <v>103</v>
      </c>
      <c r="D70" s="35" t="s">
        <v>125</v>
      </c>
      <c r="E70" s="24" t="s">
        <v>66</v>
      </c>
      <c r="F70" s="37" t="s">
        <v>67</v>
      </c>
    </row>
    <row r="71" spans="1:6" x14ac:dyDescent="0.25">
      <c r="A71" s="43" t="s">
        <v>9</v>
      </c>
      <c r="B71" s="35" t="s">
        <v>124</v>
      </c>
      <c r="C71" s="27" t="s">
        <v>114</v>
      </c>
      <c r="D71" s="35" t="s">
        <v>126</v>
      </c>
      <c r="E71" s="21" t="s">
        <v>63</v>
      </c>
      <c r="F71" s="22" t="s">
        <v>64</v>
      </c>
    </row>
    <row r="72" spans="1:6" ht="24" customHeight="1" x14ac:dyDescent="0.25">
      <c r="A72" s="43" t="s">
        <v>9</v>
      </c>
      <c r="B72" s="35" t="s">
        <v>127</v>
      </c>
      <c r="C72" s="27" t="s">
        <v>61</v>
      </c>
      <c r="D72" s="35" t="s">
        <v>128</v>
      </c>
      <c r="E72" s="24" t="s">
        <v>66</v>
      </c>
      <c r="F72" s="37" t="s">
        <v>67</v>
      </c>
    </row>
    <row r="73" spans="1:6" ht="24" customHeight="1" x14ac:dyDescent="0.25">
      <c r="A73" s="43" t="s">
        <v>9</v>
      </c>
      <c r="B73" s="35" t="s">
        <v>127</v>
      </c>
      <c r="C73" s="27" t="s">
        <v>70</v>
      </c>
      <c r="D73" s="35" t="s">
        <v>129</v>
      </c>
      <c r="E73" s="24" t="s">
        <v>66</v>
      </c>
      <c r="F73" s="37" t="s">
        <v>67</v>
      </c>
    </row>
    <row r="74" spans="1:6" x14ac:dyDescent="0.25">
      <c r="A74" s="43" t="s">
        <v>9</v>
      </c>
      <c r="B74" s="35" t="s">
        <v>127</v>
      </c>
      <c r="C74" s="27" t="s">
        <v>99</v>
      </c>
      <c r="D74" s="35" t="s">
        <v>130</v>
      </c>
      <c r="E74" s="21" t="s">
        <v>63</v>
      </c>
      <c r="F74" s="37" t="s">
        <v>67</v>
      </c>
    </row>
    <row r="75" spans="1:6" x14ac:dyDescent="0.25">
      <c r="A75" s="43" t="s">
        <v>9</v>
      </c>
      <c r="B75" s="35" t="s">
        <v>131</v>
      </c>
      <c r="C75" s="27" t="s">
        <v>61</v>
      </c>
      <c r="D75" s="35" t="s">
        <v>132</v>
      </c>
      <c r="E75" s="21" t="s">
        <v>63</v>
      </c>
      <c r="F75" s="22" t="s">
        <v>64</v>
      </c>
    </row>
    <row r="76" spans="1:6" x14ac:dyDescent="0.25">
      <c r="A76" s="43" t="s">
        <v>9</v>
      </c>
      <c r="B76" s="35" t="s">
        <v>131</v>
      </c>
      <c r="C76" s="27" t="s">
        <v>70</v>
      </c>
      <c r="D76" s="35" t="s">
        <v>133</v>
      </c>
      <c r="E76" s="21" t="s">
        <v>63</v>
      </c>
      <c r="F76" s="37" t="s">
        <v>67</v>
      </c>
    </row>
    <row r="77" spans="1:6" x14ac:dyDescent="0.25">
      <c r="A77" s="43" t="s">
        <v>9</v>
      </c>
      <c r="B77" s="35" t="s">
        <v>131</v>
      </c>
      <c r="C77" s="27" t="s">
        <v>99</v>
      </c>
      <c r="D77" s="35" t="s">
        <v>134</v>
      </c>
      <c r="E77" s="21" t="s">
        <v>63</v>
      </c>
      <c r="F77" s="22" t="s">
        <v>64</v>
      </c>
    </row>
    <row r="78" spans="1:6" x14ac:dyDescent="0.25">
      <c r="A78" s="43" t="s">
        <v>9</v>
      </c>
      <c r="B78" s="35" t="s">
        <v>131</v>
      </c>
      <c r="C78" s="27" t="s">
        <v>101</v>
      </c>
      <c r="D78" s="35" t="s">
        <v>135</v>
      </c>
      <c r="E78" s="24" t="s">
        <v>66</v>
      </c>
      <c r="F78" s="37" t="s">
        <v>67</v>
      </c>
    </row>
    <row r="79" spans="1:6" x14ac:dyDescent="0.25">
      <c r="A79" s="43" t="s">
        <v>9</v>
      </c>
      <c r="B79" s="35" t="s">
        <v>136</v>
      </c>
      <c r="C79" s="27" t="s">
        <v>61</v>
      </c>
      <c r="D79" s="35" t="s">
        <v>137</v>
      </c>
      <c r="E79" s="21" t="s">
        <v>63</v>
      </c>
      <c r="F79" s="37" t="s">
        <v>67</v>
      </c>
    </row>
    <row r="80" spans="1:6" x14ac:dyDescent="0.25">
      <c r="A80" s="43" t="s">
        <v>9</v>
      </c>
      <c r="B80" s="35" t="s">
        <v>136</v>
      </c>
      <c r="C80" s="27" t="s">
        <v>70</v>
      </c>
      <c r="D80" s="35" t="s">
        <v>138</v>
      </c>
      <c r="E80" s="21" t="s">
        <v>63</v>
      </c>
      <c r="F80" s="22" t="s">
        <v>64</v>
      </c>
    </row>
    <row r="81" spans="1:6" x14ac:dyDescent="0.25">
      <c r="A81" s="43" t="s">
        <v>9</v>
      </c>
      <c r="B81" s="35" t="s">
        <v>136</v>
      </c>
      <c r="C81" s="27" t="s">
        <v>99</v>
      </c>
      <c r="D81" s="35" t="s">
        <v>139</v>
      </c>
      <c r="E81" s="24" t="s">
        <v>66</v>
      </c>
      <c r="F81" s="22" t="s">
        <v>64</v>
      </c>
    </row>
    <row r="82" spans="1:6" x14ac:dyDescent="0.25">
      <c r="A82" s="43" t="s">
        <v>9</v>
      </c>
      <c r="B82" s="35" t="s">
        <v>136</v>
      </c>
      <c r="C82" s="27" t="s">
        <v>101</v>
      </c>
      <c r="D82" s="35" t="s">
        <v>140</v>
      </c>
      <c r="E82" s="24" t="s">
        <v>66</v>
      </c>
      <c r="F82" s="23" t="s">
        <v>69</v>
      </c>
    </row>
    <row r="83" spans="1:6" x14ac:dyDescent="0.25">
      <c r="A83" s="43" t="s">
        <v>9</v>
      </c>
      <c r="B83" s="35" t="s">
        <v>233</v>
      </c>
      <c r="C83" s="27"/>
      <c r="D83" s="35" t="s">
        <v>142</v>
      </c>
      <c r="E83" s="21" t="s">
        <v>63</v>
      </c>
      <c r="F83" s="37" t="s">
        <v>67</v>
      </c>
    </row>
    <row r="84" spans="1:6" x14ac:dyDescent="0.25">
      <c r="A84" s="43" t="s">
        <v>10</v>
      </c>
      <c r="B84" s="35" t="s">
        <v>23</v>
      </c>
      <c r="C84" s="27"/>
      <c r="D84" s="35" t="s">
        <v>179</v>
      </c>
      <c r="E84" s="21" t="s">
        <v>63</v>
      </c>
      <c r="F84" s="22" t="s">
        <v>64</v>
      </c>
    </row>
    <row r="85" spans="1:6" x14ac:dyDescent="0.25">
      <c r="A85" s="43" t="s">
        <v>10</v>
      </c>
      <c r="B85" s="35" t="s">
        <v>112</v>
      </c>
      <c r="C85" s="27"/>
      <c r="D85" s="35" t="s">
        <v>180</v>
      </c>
      <c r="E85" s="21" t="s">
        <v>63</v>
      </c>
      <c r="F85" s="23" t="s">
        <v>69</v>
      </c>
    </row>
    <row r="86" spans="1:6" x14ac:dyDescent="0.25">
      <c r="A86" s="43" t="s">
        <v>10</v>
      </c>
      <c r="B86" s="35" t="s">
        <v>131</v>
      </c>
      <c r="C86" s="27" t="s">
        <v>61</v>
      </c>
      <c r="D86" s="35" t="s">
        <v>181</v>
      </c>
      <c r="E86" s="24" t="s">
        <v>66</v>
      </c>
      <c r="F86" s="22" t="s">
        <v>64</v>
      </c>
    </row>
    <row r="87" spans="1:6" x14ac:dyDescent="0.25">
      <c r="A87" s="43" t="s">
        <v>10</v>
      </c>
      <c r="B87" s="35" t="s">
        <v>131</v>
      </c>
      <c r="C87" s="27" t="s">
        <v>70</v>
      </c>
      <c r="D87" s="35" t="s">
        <v>182</v>
      </c>
      <c r="E87" s="21" t="s">
        <v>63</v>
      </c>
      <c r="F87" s="22" t="s">
        <v>64</v>
      </c>
    </row>
    <row r="88" spans="1:6" x14ac:dyDescent="0.25">
      <c r="A88" s="43" t="s">
        <v>10</v>
      </c>
      <c r="B88" s="35" t="s">
        <v>131</v>
      </c>
      <c r="C88" s="27" t="s">
        <v>99</v>
      </c>
      <c r="D88" s="35" t="s">
        <v>183</v>
      </c>
      <c r="E88" s="21" t="s">
        <v>63</v>
      </c>
      <c r="F88" s="22" t="s">
        <v>64</v>
      </c>
    </row>
    <row r="89" spans="1:6" x14ac:dyDescent="0.25">
      <c r="A89" s="43" t="s">
        <v>11</v>
      </c>
      <c r="B89" s="35" t="s">
        <v>23</v>
      </c>
      <c r="C89" s="27"/>
      <c r="D89" s="35" t="s">
        <v>190</v>
      </c>
      <c r="E89" s="21" t="s">
        <v>63</v>
      </c>
      <c r="F89" s="22" t="s">
        <v>64</v>
      </c>
    </row>
    <row r="90" spans="1:6" x14ac:dyDescent="0.25">
      <c r="A90" s="43" t="s">
        <v>11</v>
      </c>
      <c r="B90" s="35" t="s">
        <v>24</v>
      </c>
      <c r="C90" s="27"/>
      <c r="D90" s="35" t="s">
        <v>191</v>
      </c>
      <c r="E90" s="24" t="s">
        <v>66</v>
      </c>
      <c r="F90" s="23" t="s">
        <v>69</v>
      </c>
    </row>
    <row r="91" spans="1:6" x14ac:dyDescent="0.25">
      <c r="A91" s="43" t="s">
        <v>11</v>
      </c>
      <c r="B91" s="35" t="s">
        <v>131</v>
      </c>
      <c r="C91" s="27" t="s">
        <v>61</v>
      </c>
      <c r="D91" s="35" t="s">
        <v>192</v>
      </c>
      <c r="E91" s="21" t="s">
        <v>63</v>
      </c>
      <c r="F91" s="22" t="s">
        <v>64</v>
      </c>
    </row>
    <row r="92" spans="1:6" x14ac:dyDescent="0.25">
      <c r="A92" s="43" t="s">
        <v>11</v>
      </c>
      <c r="B92" s="35" t="s">
        <v>131</v>
      </c>
      <c r="C92" s="27" t="s">
        <v>70</v>
      </c>
      <c r="D92" s="35" t="s">
        <v>193</v>
      </c>
      <c r="E92" s="21" t="s">
        <v>63</v>
      </c>
      <c r="F92" s="22" t="s">
        <v>64</v>
      </c>
    </row>
    <row r="93" spans="1:6" x14ac:dyDescent="0.25">
      <c r="A93" s="43" t="s">
        <v>13</v>
      </c>
      <c r="B93" s="35" t="s">
        <v>23</v>
      </c>
      <c r="C93" s="27"/>
      <c r="D93" s="35" t="s">
        <v>198</v>
      </c>
      <c r="E93" s="21" t="s">
        <v>63</v>
      </c>
      <c r="F93" s="22" t="s">
        <v>64</v>
      </c>
    </row>
    <row r="94" spans="1:6" x14ac:dyDescent="0.25">
      <c r="A94" s="43" t="s">
        <v>13</v>
      </c>
      <c r="B94" s="35" t="s">
        <v>199</v>
      </c>
      <c r="C94" s="27"/>
      <c r="D94" s="35" t="s">
        <v>200</v>
      </c>
      <c r="E94" s="21" t="s">
        <v>63</v>
      </c>
      <c r="F94" s="37" t="s">
        <v>67</v>
      </c>
    </row>
    <row r="95" spans="1:6" x14ac:dyDescent="0.25">
      <c r="A95" s="43" t="s">
        <v>13</v>
      </c>
      <c r="B95" s="35" t="s">
        <v>131</v>
      </c>
      <c r="C95" s="27"/>
      <c r="D95" s="35" t="s">
        <v>201</v>
      </c>
      <c r="E95" s="21" t="s">
        <v>63</v>
      </c>
      <c r="F95" s="22" t="s">
        <v>64</v>
      </c>
    </row>
    <row r="96" spans="1:6" x14ac:dyDescent="0.25">
      <c r="A96" s="43" t="s">
        <v>14</v>
      </c>
      <c r="B96" s="35" t="s">
        <v>23</v>
      </c>
      <c r="C96" s="27"/>
      <c r="D96" s="35" t="s">
        <v>205</v>
      </c>
      <c r="E96" s="24" t="s">
        <v>66</v>
      </c>
      <c r="F96" s="37" t="s">
        <v>67</v>
      </c>
    </row>
    <row r="97" spans="1:6" x14ac:dyDescent="0.25">
      <c r="A97" s="43" t="s">
        <v>14</v>
      </c>
      <c r="B97" s="35" t="s">
        <v>131</v>
      </c>
      <c r="C97" s="27"/>
      <c r="D97" s="35" t="s">
        <v>206</v>
      </c>
      <c r="E97" s="21" t="s">
        <v>63</v>
      </c>
      <c r="F97" s="23" t="s">
        <v>69</v>
      </c>
    </row>
    <row r="98" spans="1:6" x14ac:dyDescent="0.25">
      <c r="A98" s="43" t="s">
        <v>15</v>
      </c>
      <c r="B98" s="35" t="s">
        <v>23</v>
      </c>
      <c r="C98" s="27"/>
      <c r="D98" s="35" t="s">
        <v>211</v>
      </c>
      <c r="E98" s="21" t="s">
        <v>63</v>
      </c>
      <c r="F98" s="22" t="s">
        <v>64</v>
      </c>
    </row>
    <row r="99" spans="1:6" x14ac:dyDescent="0.25">
      <c r="A99" s="43" t="s">
        <v>15</v>
      </c>
      <c r="B99" s="35" t="s">
        <v>131</v>
      </c>
      <c r="C99" s="27"/>
      <c r="D99" s="35" t="s">
        <v>212</v>
      </c>
      <c r="E99" s="24" t="s">
        <v>66</v>
      </c>
      <c r="F99" s="22" t="s">
        <v>64</v>
      </c>
    </row>
    <row r="100" spans="1:6" x14ac:dyDescent="0.25">
      <c r="A100" s="43" t="s">
        <v>16</v>
      </c>
      <c r="B100" s="35" t="s">
        <v>23</v>
      </c>
      <c r="C100" s="27"/>
      <c r="D100" s="35" t="s">
        <v>216</v>
      </c>
      <c r="E100" s="21" t="s">
        <v>63</v>
      </c>
      <c r="F100" s="37" t="s">
        <v>67</v>
      </c>
    </row>
    <row r="101" spans="1:6" x14ac:dyDescent="0.25">
      <c r="A101" s="43" t="s">
        <v>16</v>
      </c>
      <c r="B101" s="35" t="s">
        <v>131</v>
      </c>
      <c r="C101" s="27"/>
      <c r="D101" s="35" t="s">
        <v>217</v>
      </c>
      <c r="E101" s="21" t="s">
        <v>63</v>
      </c>
      <c r="F101" s="22" t="s">
        <v>64</v>
      </c>
    </row>
    <row r="102" spans="1:6" x14ac:dyDescent="0.25">
      <c r="A102" s="43" t="s">
        <v>12</v>
      </c>
      <c r="B102" s="35" t="s">
        <v>23</v>
      </c>
      <c r="C102" s="27"/>
      <c r="D102" s="35" t="s">
        <v>222</v>
      </c>
      <c r="E102" s="21" t="s">
        <v>63</v>
      </c>
      <c r="F102" s="37" t="s">
        <v>67</v>
      </c>
    </row>
    <row r="103" spans="1:6" x14ac:dyDescent="0.25">
      <c r="A103" s="43" t="s">
        <v>12</v>
      </c>
      <c r="B103" s="35" t="s">
        <v>131</v>
      </c>
      <c r="C103" s="27"/>
      <c r="D103" s="35" t="s">
        <v>223</v>
      </c>
      <c r="E103" s="24" t="s">
        <v>66</v>
      </c>
      <c r="F103" s="22" t="s">
        <v>64</v>
      </c>
    </row>
    <row r="105" spans="1:6" ht="18" customHeight="1" x14ac:dyDescent="0.25">
      <c r="A105" s="106" t="s">
        <v>234</v>
      </c>
      <c r="B105" s="95"/>
      <c r="C105" s="95"/>
      <c r="D105" s="95"/>
      <c r="E105" s="95"/>
      <c r="F105" s="95"/>
    </row>
    <row r="106" spans="1:6" x14ac:dyDescent="0.25">
      <c r="A106" s="40" t="s">
        <v>1</v>
      </c>
      <c r="B106" s="40" t="s">
        <v>53</v>
      </c>
      <c r="C106" s="40" t="s">
        <v>54</v>
      </c>
      <c r="D106" s="40" t="s">
        <v>56</v>
      </c>
      <c r="E106" s="40" t="s">
        <v>57</v>
      </c>
      <c r="F106" s="40" t="s">
        <v>58</v>
      </c>
    </row>
    <row r="107" spans="1:6" x14ac:dyDescent="0.25">
      <c r="A107" s="44" t="s">
        <v>9</v>
      </c>
      <c r="B107" s="35" t="s">
        <v>23</v>
      </c>
      <c r="C107" s="27"/>
      <c r="D107" s="35" t="s">
        <v>79</v>
      </c>
      <c r="E107" s="21" t="s">
        <v>63</v>
      </c>
      <c r="F107" s="22" t="s">
        <v>64</v>
      </c>
    </row>
    <row r="108" spans="1:6" x14ac:dyDescent="0.25">
      <c r="A108" s="44" t="s">
        <v>9</v>
      </c>
      <c r="B108" s="35" t="s">
        <v>25</v>
      </c>
      <c r="C108" s="27" t="s">
        <v>61</v>
      </c>
      <c r="D108" s="35" t="s">
        <v>82</v>
      </c>
      <c r="E108" s="21" t="s">
        <v>63</v>
      </c>
      <c r="F108" s="22" t="s">
        <v>64</v>
      </c>
    </row>
    <row r="109" spans="1:6" x14ac:dyDescent="0.25">
      <c r="A109" s="44" t="s">
        <v>9</v>
      </c>
      <c r="B109" s="35" t="s">
        <v>25</v>
      </c>
      <c r="C109" s="27" t="s">
        <v>70</v>
      </c>
      <c r="D109" s="35" t="s">
        <v>85</v>
      </c>
      <c r="E109" s="21" t="s">
        <v>63</v>
      </c>
      <c r="F109" s="22" t="s">
        <v>64</v>
      </c>
    </row>
    <row r="110" spans="1:6" x14ac:dyDescent="0.25">
      <c r="A110" s="44" t="s">
        <v>9</v>
      </c>
      <c r="B110" s="35" t="s">
        <v>60</v>
      </c>
      <c r="C110" s="27" t="s">
        <v>61</v>
      </c>
      <c r="D110" s="35" t="s">
        <v>62</v>
      </c>
      <c r="E110" s="21" t="s">
        <v>63</v>
      </c>
      <c r="F110" s="22" t="s">
        <v>64</v>
      </c>
    </row>
    <row r="111" spans="1:6" x14ac:dyDescent="0.25">
      <c r="A111" s="44" t="s">
        <v>9</v>
      </c>
      <c r="B111" s="35" t="s">
        <v>60</v>
      </c>
      <c r="C111" s="27" t="s">
        <v>70</v>
      </c>
      <c r="D111" s="35" t="s">
        <v>71</v>
      </c>
      <c r="E111" s="21" t="s">
        <v>63</v>
      </c>
      <c r="F111" s="23" t="s">
        <v>69</v>
      </c>
    </row>
    <row r="112" spans="1:6" ht="24" customHeight="1" x14ac:dyDescent="0.25">
      <c r="A112" s="44" t="s">
        <v>9</v>
      </c>
      <c r="B112" s="35" t="s">
        <v>235</v>
      </c>
      <c r="C112" s="27"/>
      <c r="D112" s="35" t="s">
        <v>76</v>
      </c>
      <c r="E112" s="21" t="s">
        <v>63</v>
      </c>
      <c r="F112" s="22" t="s">
        <v>64</v>
      </c>
    </row>
    <row r="113" spans="1:6" x14ac:dyDescent="0.25">
      <c r="A113" s="44" t="s">
        <v>10</v>
      </c>
      <c r="B113" s="35" t="s">
        <v>175</v>
      </c>
      <c r="C113" s="27"/>
      <c r="D113" s="35" t="s">
        <v>176</v>
      </c>
      <c r="E113" s="21" t="s">
        <v>63</v>
      </c>
      <c r="F113" s="22" t="s">
        <v>64</v>
      </c>
    </row>
    <row r="116" spans="1:6" ht="15" customHeight="1" x14ac:dyDescent="0.25">
      <c r="A116" s="105" t="s">
        <v>236</v>
      </c>
      <c r="B116" s="89"/>
      <c r="C116" s="89"/>
      <c r="D116" s="89"/>
      <c r="E116" s="89"/>
      <c r="F116" s="89"/>
    </row>
  </sheetData>
  <mergeCells count="6">
    <mergeCell ref="A2:F2"/>
    <mergeCell ref="A116:F116"/>
    <mergeCell ref="A1:F1"/>
    <mergeCell ref="A105:F105"/>
    <mergeCell ref="A48:F48"/>
    <mergeCell ref="A25:F25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7">
    <tabColor theme="5" tint="0.59999389629810485"/>
  </sheetPr>
  <dimension ref="A1:I123"/>
  <sheetViews>
    <sheetView topLeftCell="A25" zoomScaleNormal="100" workbookViewId="0">
      <selection activeCell="J15" sqref="J15"/>
    </sheetView>
  </sheetViews>
  <sheetFormatPr baseColWidth="10" defaultColWidth="8.7109375" defaultRowHeight="15" x14ac:dyDescent="0.25"/>
  <cols>
    <col min="1" max="1" width="14" style="2" customWidth="1"/>
    <col min="2" max="2" width="20" style="2" customWidth="1"/>
    <col min="3" max="3" width="10" style="2" customWidth="1"/>
    <col min="4" max="4" width="22" style="2" customWidth="1"/>
    <col min="5" max="5" width="6" style="2" customWidth="1"/>
    <col min="6" max="6" width="38" style="2" customWidth="1"/>
    <col min="7" max="7" width="8" style="2" customWidth="1"/>
    <col min="8" max="8" width="11" style="2" customWidth="1"/>
    <col min="9" max="9" width="18" style="2" customWidth="1"/>
    <col min="10" max="10" width="8.7109375" style="2" customWidth="1"/>
    <col min="11" max="16384" width="8.7109375" style="2"/>
  </cols>
  <sheetData>
    <row r="1" spans="1:9" ht="21.75" customHeight="1" x14ac:dyDescent="0.25">
      <c r="A1" s="99" t="s">
        <v>237</v>
      </c>
      <c r="B1" s="89"/>
      <c r="C1" s="89"/>
      <c r="D1" s="89"/>
      <c r="E1" s="89"/>
      <c r="F1" s="89"/>
      <c r="G1" s="89"/>
      <c r="H1" s="89"/>
      <c r="I1" s="89"/>
    </row>
    <row r="2" spans="1:9" ht="24" customHeight="1" x14ac:dyDescent="0.25">
      <c r="A2" s="45" t="s">
        <v>1</v>
      </c>
      <c r="B2" s="45" t="s">
        <v>238</v>
      </c>
      <c r="C2" s="45" t="s">
        <v>239</v>
      </c>
      <c r="D2" s="45" t="s">
        <v>53</v>
      </c>
      <c r="E2" s="45" t="s">
        <v>240</v>
      </c>
      <c r="F2" s="45" t="s">
        <v>241</v>
      </c>
      <c r="G2" s="45" t="s">
        <v>57</v>
      </c>
      <c r="H2" s="45" t="s">
        <v>242</v>
      </c>
      <c r="I2" s="45" t="s">
        <v>243</v>
      </c>
    </row>
    <row r="3" spans="1:9" x14ac:dyDescent="0.25">
      <c r="A3" s="46" t="s">
        <v>9</v>
      </c>
      <c r="B3" s="35" t="s">
        <v>9</v>
      </c>
      <c r="C3" s="41" t="s">
        <v>5</v>
      </c>
      <c r="D3" s="35" t="s">
        <v>60</v>
      </c>
      <c r="E3" s="27" t="s">
        <v>61</v>
      </c>
      <c r="F3" s="35" t="s">
        <v>62</v>
      </c>
      <c r="G3" s="24" t="s">
        <v>63</v>
      </c>
      <c r="H3" s="37" t="s">
        <v>244</v>
      </c>
      <c r="I3" s="37" t="s">
        <v>64</v>
      </c>
    </row>
    <row r="4" spans="1:9" x14ac:dyDescent="0.25">
      <c r="A4" s="46" t="s">
        <v>9</v>
      </c>
      <c r="B4" s="35" t="s">
        <v>9</v>
      </c>
      <c r="C4" s="41" t="s">
        <v>5</v>
      </c>
      <c r="D4" s="35" t="s">
        <v>60</v>
      </c>
      <c r="E4" s="27" t="s">
        <v>61</v>
      </c>
      <c r="F4" s="35" t="s">
        <v>65</v>
      </c>
      <c r="G4" s="21" t="s">
        <v>66</v>
      </c>
      <c r="H4" s="37" t="s">
        <v>245</v>
      </c>
      <c r="I4" s="37" t="s">
        <v>67</v>
      </c>
    </row>
    <row r="5" spans="1:9" x14ac:dyDescent="0.25">
      <c r="A5" s="46" t="s">
        <v>9</v>
      </c>
      <c r="B5" s="35" t="s">
        <v>9</v>
      </c>
      <c r="C5" s="41" t="s">
        <v>5</v>
      </c>
      <c r="D5" s="35" t="s">
        <v>60</v>
      </c>
      <c r="E5" s="27" t="s">
        <v>61</v>
      </c>
      <c r="F5" s="35" t="s">
        <v>68</v>
      </c>
      <c r="G5" s="24" t="s">
        <v>63</v>
      </c>
      <c r="H5" s="37" t="s">
        <v>246</v>
      </c>
      <c r="I5" s="37" t="s">
        <v>69</v>
      </c>
    </row>
    <row r="6" spans="1:9" x14ac:dyDescent="0.25">
      <c r="A6" s="46" t="s">
        <v>9</v>
      </c>
      <c r="B6" s="35" t="s">
        <v>9</v>
      </c>
      <c r="C6" s="41" t="s">
        <v>5</v>
      </c>
      <c r="D6" s="35" t="s">
        <v>60</v>
      </c>
      <c r="E6" s="27" t="s">
        <v>70</v>
      </c>
      <c r="F6" s="35" t="s">
        <v>71</v>
      </c>
      <c r="G6" s="24" t="s">
        <v>63</v>
      </c>
      <c r="H6" s="37" t="s">
        <v>244</v>
      </c>
      <c r="I6" s="37" t="s">
        <v>64</v>
      </c>
    </row>
    <row r="7" spans="1:9" x14ac:dyDescent="0.25">
      <c r="A7" s="46" t="s">
        <v>9</v>
      </c>
      <c r="B7" s="35" t="s">
        <v>9</v>
      </c>
      <c r="C7" s="41" t="s">
        <v>5</v>
      </c>
      <c r="D7" s="35" t="s">
        <v>60</v>
      </c>
      <c r="E7" s="27" t="s">
        <v>70</v>
      </c>
      <c r="F7" s="35" t="s">
        <v>72</v>
      </c>
      <c r="G7" s="21" t="s">
        <v>63</v>
      </c>
      <c r="H7" s="22" t="s">
        <v>245</v>
      </c>
      <c r="I7" s="22" t="s">
        <v>67</v>
      </c>
    </row>
    <row r="8" spans="1:9" x14ac:dyDescent="0.25">
      <c r="A8" s="46" t="s">
        <v>9</v>
      </c>
      <c r="B8" s="35" t="s">
        <v>9</v>
      </c>
      <c r="C8" s="41" t="s">
        <v>5</v>
      </c>
      <c r="D8" s="35" t="s">
        <v>60</v>
      </c>
      <c r="E8" s="27" t="s">
        <v>70</v>
      </c>
      <c r="F8" s="35" t="s">
        <v>73</v>
      </c>
      <c r="G8" s="21" t="s">
        <v>63</v>
      </c>
      <c r="H8" s="37" t="s">
        <v>246</v>
      </c>
      <c r="I8" s="37" t="s">
        <v>69</v>
      </c>
    </row>
    <row r="9" spans="1:9" ht="24" customHeight="1" x14ac:dyDescent="0.25">
      <c r="A9" s="46" t="s">
        <v>9</v>
      </c>
      <c r="B9" s="35" t="s">
        <v>9</v>
      </c>
      <c r="C9" s="41" t="s">
        <v>5</v>
      </c>
      <c r="D9" s="35" t="s">
        <v>74</v>
      </c>
      <c r="E9" s="27"/>
      <c r="F9" s="35" t="s">
        <v>76</v>
      </c>
      <c r="G9" s="24" t="s">
        <v>63</v>
      </c>
      <c r="H9" s="22" t="s">
        <v>244</v>
      </c>
      <c r="I9" s="22" t="s">
        <v>64</v>
      </c>
    </row>
    <row r="10" spans="1:9" x14ac:dyDescent="0.25">
      <c r="A10" s="46" t="s">
        <v>9</v>
      </c>
      <c r="B10" s="35" t="s">
        <v>9</v>
      </c>
      <c r="C10" s="41" t="s">
        <v>5</v>
      </c>
      <c r="D10" s="35" t="s">
        <v>74</v>
      </c>
      <c r="E10" s="27"/>
      <c r="F10" s="35" t="s">
        <v>77</v>
      </c>
      <c r="G10" s="24" t="s">
        <v>66</v>
      </c>
      <c r="H10" s="37" t="s">
        <v>245</v>
      </c>
      <c r="I10" s="37" t="s">
        <v>67</v>
      </c>
    </row>
    <row r="11" spans="1:9" x14ac:dyDescent="0.25">
      <c r="A11" s="46" t="s">
        <v>9</v>
      </c>
      <c r="B11" s="35" t="s">
        <v>9</v>
      </c>
      <c r="C11" s="41" t="s">
        <v>5</v>
      </c>
      <c r="D11" s="35" t="s">
        <v>74</v>
      </c>
      <c r="E11" s="27"/>
      <c r="F11" s="35" t="s">
        <v>78</v>
      </c>
      <c r="G11" s="24" t="s">
        <v>63</v>
      </c>
      <c r="H11" s="37" t="s">
        <v>246</v>
      </c>
      <c r="I11" s="37" t="s">
        <v>69</v>
      </c>
    </row>
    <row r="12" spans="1:9" x14ac:dyDescent="0.25">
      <c r="A12" s="46" t="s">
        <v>9</v>
      </c>
      <c r="B12" s="35" t="s">
        <v>9</v>
      </c>
      <c r="C12" s="41" t="s">
        <v>5</v>
      </c>
      <c r="D12" s="35" t="s">
        <v>23</v>
      </c>
      <c r="E12" s="27"/>
      <c r="F12" s="35" t="s">
        <v>79</v>
      </c>
      <c r="G12" s="24" t="s">
        <v>63</v>
      </c>
      <c r="H12" s="37" t="s">
        <v>244</v>
      </c>
      <c r="I12" s="37" t="s">
        <v>64</v>
      </c>
    </row>
    <row r="13" spans="1:9" x14ac:dyDescent="0.25">
      <c r="A13" s="46" t="s">
        <v>9</v>
      </c>
      <c r="B13" s="35" t="s">
        <v>9</v>
      </c>
      <c r="C13" s="41" t="s">
        <v>5</v>
      </c>
      <c r="D13" s="35" t="s">
        <v>23</v>
      </c>
      <c r="E13" s="27"/>
      <c r="F13" s="35" t="s">
        <v>80</v>
      </c>
      <c r="G13" s="24" t="s">
        <v>66</v>
      </c>
      <c r="H13" s="37" t="s">
        <v>245</v>
      </c>
      <c r="I13" s="37" t="s">
        <v>67</v>
      </c>
    </row>
    <row r="14" spans="1:9" x14ac:dyDescent="0.25">
      <c r="A14" s="46" t="s">
        <v>9</v>
      </c>
      <c r="B14" s="35" t="s">
        <v>9</v>
      </c>
      <c r="C14" s="41" t="s">
        <v>5</v>
      </c>
      <c r="D14" s="35" t="s">
        <v>23</v>
      </c>
      <c r="E14" s="27"/>
      <c r="F14" s="35" t="s">
        <v>81</v>
      </c>
      <c r="G14" s="24" t="s">
        <v>66</v>
      </c>
      <c r="H14" s="37" t="s">
        <v>246</v>
      </c>
      <c r="I14" s="37" t="s">
        <v>69</v>
      </c>
    </row>
    <row r="15" spans="1:9" x14ac:dyDescent="0.25">
      <c r="A15" s="46" t="s">
        <v>9</v>
      </c>
      <c r="B15" s="35" t="s">
        <v>9</v>
      </c>
      <c r="C15" s="41" t="s">
        <v>5</v>
      </c>
      <c r="D15" s="35" t="s">
        <v>25</v>
      </c>
      <c r="E15" s="27" t="s">
        <v>61</v>
      </c>
      <c r="F15" s="35" t="s">
        <v>82</v>
      </c>
      <c r="G15" s="21" t="s">
        <v>63</v>
      </c>
      <c r="H15" s="37" t="s">
        <v>244</v>
      </c>
      <c r="I15" s="37" t="s">
        <v>64</v>
      </c>
    </row>
    <row r="16" spans="1:9" x14ac:dyDescent="0.25">
      <c r="A16" s="46" t="s">
        <v>9</v>
      </c>
      <c r="B16" s="35" t="s">
        <v>9</v>
      </c>
      <c r="C16" s="41" t="s">
        <v>5</v>
      </c>
      <c r="D16" s="35" t="s">
        <v>25</v>
      </c>
      <c r="E16" s="27" t="s">
        <v>61</v>
      </c>
      <c r="F16" s="35" t="s">
        <v>83</v>
      </c>
      <c r="G16" s="21" t="s">
        <v>63</v>
      </c>
      <c r="H16" s="37" t="s">
        <v>245</v>
      </c>
      <c r="I16" s="37" t="s">
        <v>67</v>
      </c>
    </row>
    <row r="17" spans="1:9" x14ac:dyDescent="0.25">
      <c r="A17" s="46" t="s">
        <v>9</v>
      </c>
      <c r="B17" s="35" t="s">
        <v>9</v>
      </c>
      <c r="C17" s="41" t="s">
        <v>5</v>
      </c>
      <c r="D17" s="35" t="s">
        <v>25</v>
      </c>
      <c r="E17" s="27" t="s">
        <v>61</v>
      </c>
      <c r="F17" s="35" t="s">
        <v>84</v>
      </c>
      <c r="G17" s="21" t="s">
        <v>63</v>
      </c>
      <c r="H17" s="37" t="s">
        <v>246</v>
      </c>
      <c r="I17" s="37" t="s">
        <v>69</v>
      </c>
    </row>
    <row r="18" spans="1:9" x14ac:dyDescent="0.25">
      <c r="A18" s="46" t="s">
        <v>9</v>
      </c>
      <c r="B18" s="35" t="s">
        <v>9</v>
      </c>
      <c r="C18" s="41" t="s">
        <v>5</v>
      </c>
      <c r="D18" s="35" t="s">
        <v>25</v>
      </c>
      <c r="E18" s="27" t="s">
        <v>70</v>
      </c>
      <c r="F18" s="35" t="s">
        <v>85</v>
      </c>
      <c r="G18" s="21" t="s">
        <v>63</v>
      </c>
      <c r="H18" s="37" t="s">
        <v>244</v>
      </c>
      <c r="I18" s="37" t="s">
        <v>64</v>
      </c>
    </row>
    <row r="19" spans="1:9" x14ac:dyDescent="0.25">
      <c r="A19" s="46" t="s">
        <v>9</v>
      </c>
      <c r="B19" s="35" t="s">
        <v>9</v>
      </c>
      <c r="C19" s="41" t="s">
        <v>5</v>
      </c>
      <c r="D19" s="35" t="s">
        <v>25</v>
      </c>
      <c r="E19" s="27" t="s">
        <v>70</v>
      </c>
      <c r="F19" s="35" t="s">
        <v>86</v>
      </c>
      <c r="G19" s="24" t="s">
        <v>63</v>
      </c>
      <c r="H19" s="37" t="s">
        <v>245</v>
      </c>
      <c r="I19" s="37" t="s">
        <v>67</v>
      </c>
    </row>
    <row r="20" spans="1:9" x14ac:dyDescent="0.25">
      <c r="A20" s="46" t="s">
        <v>9</v>
      </c>
      <c r="B20" s="35" t="s">
        <v>9</v>
      </c>
      <c r="C20" s="41" t="s">
        <v>5</v>
      </c>
      <c r="D20" s="35" t="s">
        <v>25</v>
      </c>
      <c r="E20" s="27" t="s">
        <v>70</v>
      </c>
      <c r="F20" s="35" t="s">
        <v>87</v>
      </c>
      <c r="G20" s="21" t="s">
        <v>63</v>
      </c>
      <c r="H20" s="37" t="s">
        <v>246</v>
      </c>
      <c r="I20" s="37" t="s">
        <v>69</v>
      </c>
    </row>
    <row r="21" spans="1:9" x14ac:dyDescent="0.25">
      <c r="A21" s="46" t="s">
        <v>10</v>
      </c>
      <c r="B21" s="35" t="s">
        <v>10</v>
      </c>
      <c r="C21" s="41" t="s">
        <v>5</v>
      </c>
      <c r="D21" s="35" t="s">
        <v>175</v>
      </c>
      <c r="E21" s="27"/>
      <c r="F21" s="35" t="s">
        <v>176</v>
      </c>
      <c r="G21" s="21" t="s">
        <v>63</v>
      </c>
      <c r="H21" s="37" t="s">
        <v>244</v>
      </c>
      <c r="I21" s="37" t="s">
        <v>64</v>
      </c>
    </row>
    <row r="22" spans="1:9" x14ac:dyDescent="0.25">
      <c r="A22" s="46" t="s">
        <v>10</v>
      </c>
      <c r="B22" s="35" t="s">
        <v>10</v>
      </c>
      <c r="C22" s="41" t="s">
        <v>5</v>
      </c>
      <c r="D22" s="35" t="s">
        <v>175</v>
      </c>
      <c r="E22" s="27"/>
      <c r="F22" s="35" t="s">
        <v>177</v>
      </c>
      <c r="G22" s="21" t="s">
        <v>63</v>
      </c>
      <c r="H22" s="37" t="s">
        <v>245</v>
      </c>
      <c r="I22" s="37" t="s">
        <v>67</v>
      </c>
    </row>
    <row r="23" spans="1:9" x14ac:dyDescent="0.25">
      <c r="A23" s="46" t="s">
        <v>10</v>
      </c>
      <c r="B23" s="35" t="s">
        <v>10</v>
      </c>
      <c r="C23" s="44" t="s">
        <v>5</v>
      </c>
      <c r="D23" s="35" t="s">
        <v>175</v>
      </c>
      <c r="E23" s="27"/>
      <c r="F23" s="35" t="s">
        <v>178</v>
      </c>
      <c r="G23" s="21" t="s">
        <v>63</v>
      </c>
      <c r="H23" s="22" t="s">
        <v>246</v>
      </c>
      <c r="I23" s="22" t="s">
        <v>69</v>
      </c>
    </row>
    <row r="24" spans="1:9" x14ac:dyDescent="0.25">
      <c r="A24" s="46" t="s">
        <v>9</v>
      </c>
      <c r="B24" s="35" t="s">
        <v>9</v>
      </c>
      <c r="C24" s="44" t="s">
        <v>247</v>
      </c>
      <c r="D24" s="35" t="s">
        <v>89</v>
      </c>
      <c r="E24" s="27"/>
      <c r="F24" s="35" t="s">
        <v>90</v>
      </c>
      <c r="G24" s="21" t="s">
        <v>63</v>
      </c>
      <c r="H24" s="22" t="s">
        <v>244</v>
      </c>
      <c r="I24" s="22" t="s">
        <v>64</v>
      </c>
    </row>
    <row r="25" spans="1:9" x14ac:dyDescent="0.25">
      <c r="A25" s="46" t="s">
        <v>9</v>
      </c>
      <c r="B25" s="35" t="s">
        <v>9</v>
      </c>
      <c r="C25" s="44" t="s">
        <v>247</v>
      </c>
      <c r="D25" s="35" t="s">
        <v>89</v>
      </c>
      <c r="E25" s="27"/>
      <c r="F25" s="35" t="s">
        <v>91</v>
      </c>
      <c r="G25" s="21" t="s">
        <v>63</v>
      </c>
      <c r="H25" s="22" t="s">
        <v>245</v>
      </c>
      <c r="I25" s="22" t="s">
        <v>67</v>
      </c>
    </row>
    <row r="26" spans="1:9" x14ac:dyDescent="0.25">
      <c r="A26" s="46" t="s">
        <v>9</v>
      </c>
      <c r="B26" s="35" t="s">
        <v>9</v>
      </c>
      <c r="C26" s="44" t="s">
        <v>247</v>
      </c>
      <c r="D26" s="35" t="s">
        <v>89</v>
      </c>
      <c r="E26" s="27"/>
      <c r="F26" s="35" t="s">
        <v>92</v>
      </c>
      <c r="G26" s="21" t="s">
        <v>63</v>
      </c>
      <c r="H26" s="22" t="s">
        <v>245</v>
      </c>
      <c r="I26" s="22" t="s">
        <v>67</v>
      </c>
    </row>
    <row r="27" spans="1:9" ht="24" customHeight="1" x14ac:dyDescent="0.25">
      <c r="A27" s="46" t="s">
        <v>9</v>
      </c>
      <c r="B27" s="35" t="s">
        <v>9</v>
      </c>
      <c r="C27" s="44" t="s">
        <v>247</v>
      </c>
      <c r="D27" s="35" t="s">
        <v>93</v>
      </c>
      <c r="E27" s="27" t="s">
        <v>61</v>
      </c>
      <c r="F27" s="35" t="s">
        <v>94</v>
      </c>
      <c r="G27" s="21" t="s">
        <v>66</v>
      </c>
      <c r="H27" s="22" t="s">
        <v>245</v>
      </c>
      <c r="I27" s="22" t="s">
        <v>67</v>
      </c>
    </row>
    <row r="28" spans="1:9" ht="24" customHeight="1" x14ac:dyDescent="0.25">
      <c r="A28" s="46" t="s">
        <v>9</v>
      </c>
      <c r="B28" s="35" t="s">
        <v>9</v>
      </c>
      <c r="C28" s="44" t="s">
        <v>247</v>
      </c>
      <c r="D28" s="35" t="s">
        <v>93</v>
      </c>
      <c r="E28" s="27" t="s">
        <v>61</v>
      </c>
      <c r="F28" s="35" t="s">
        <v>95</v>
      </c>
      <c r="G28" s="21" t="s">
        <v>66</v>
      </c>
      <c r="H28" s="23" t="s">
        <v>245</v>
      </c>
      <c r="I28" s="23" t="s">
        <v>67</v>
      </c>
    </row>
    <row r="29" spans="1:9" ht="24" customHeight="1" x14ac:dyDescent="0.25">
      <c r="A29" s="46" t="s">
        <v>9</v>
      </c>
      <c r="B29" s="35" t="s">
        <v>9</v>
      </c>
      <c r="C29" s="44" t="s">
        <v>247</v>
      </c>
      <c r="D29" s="35" t="s">
        <v>93</v>
      </c>
      <c r="E29" s="27" t="s">
        <v>61</v>
      </c>
      <c r="F29" s="35" t="s">
        <v>96</v>
      </c>
      <c r="G29" s="21" t="s">
        <v>63</v>
      </c>
      <c r="H29" s="22" t="s">
        <v>245</v>
      </c>
      <c r="I29" s="22" t="s">
        <v>67</v>
      </c>
    </row>
    <row r="30" spans="1:9" ht="24" customHeight="1" x14ac:dyDescent="0.25">
      <c r="A30" s="46" t="s">
        <v>9</v>
      </c>
      <c r="B30" s="35" t="s">
        <v>9</v>
      </c>
      <c r="C30" s="44" t="s">
        <v>247</v>
      </c>
      <c r="D30" s="35" t="s">
        <v>93</v>
      </c>
      <c r="E30" s="27" t="s">
        <v>70</v>
      </c>
      <c r="F30" s="35" t="s">
        <v>232</v>
      </c>
      <c r="G30" s="21" t="s">
        <v>63</v>
      </c>
      <c r="H30" s="22" t="s">
        <v>245</v>
      </c>
      <c r="I30" s="22" t="s">
        <v>67</v>
      </c>
    </row>
    <row r="31" spans="1:9" ht="24" customHeight="1" x14ac:dyDescent="0.25">
      <c r="A31" s="46" t="s">
        <v>9</v>
      </c>
      <c r="B31" s="35" t="s">
        <v>9</v>
      </c>
      <c r="C31" s="44" t="s">
        <v>247</v>
      </c>
      <c r="D31" s="35" t="s">
        <v>93</v>
      </c>
      <c r="E31" s="27" t="s">
        <v>70</v>
      </c>
      <c r="F31" s="35" t="s">
        <v>248</v>
      </c>
      <c r="G31" s="21" t="s">
        <v>66</v>
      </c>
      <c r="H31" s="22" t="s">
        <v>245</v>
      </c>
      <c r="I31" s="22" t="s">
        <v>67</v>
      </c>
    </row>
    <row r="32" spans="1:9" ht="24" customHeight="1" x14ac:dyDescent="0.25">
      <c r="A32" s="46" t="s">
        <v>9</v>
      </c>
      <c r="B32" s="35" t="s">
        <v>9</v>
      </c>
      <c r="C32" s="44" t="s">
        <v>247</v>
      </c>
      <c r="D32" s="35" t="s">
        <v>93</v>
      </c>
      <c r="E32" s="27" t="s">
        <v>70</v>
      </c>
      <c r="F32" s="35" t="s">
        <v>249</v>
      </c>
      <c r="G32" s="24" t="s">
        <v>66</v>
      </c>
      <c r="H32" s="22" t="s">
        <v>245</v>
      </c>
      <c r="I32" s="22" t="s">
        <v>67</v>
      </c>
    </row>
    <row r="33" spans="1:9" x14ac:dyDescent="0.25">
      <c r="A33" s="46" t="s">
        <v>9</v>
      </c>
      <c r="B33" s="35" t="s">
        <v>9</v>
      </c>
      <c r="C33" s="44" t="s">
        <v>247</v>
      </c>
      <c r="D33" s="35" t="s">
        <v>23</v>
      </c>
      <c r="E33" s="27" t="s">
        <v>61</v>
      </c>
      <c r="F33" s="35" t="s">
        <v>97</v>
      </c>
      <c r="G33" s="21" t="s">
        <v>63</v>
      </c>
      <c r="H33" s="37" t="s">
        <v>244</v>
      </c>
      <c r="I33" s="37" t="s">
        <v>64</v>
      </c>
    </row>
    <row r="34" spans="1:9" x14ac:dyDescent="0.25">
      <c r="A34" s="46" t="s">
        <v>9</v>
      </c>
      <c r="B34" s="35" t="s">
        <v>9</v>
      </c>
      <c r="C34" s="44" t="s">
        <v>247</v>
      </c>
      <c r="D34" s="35" t="s">
        <v>23</v>
      </c>
      <c r="E34" s="27" t="s">
        <v>70</v>
      </c>
      <c r="F34" s="35" t="s">
        <v>98</v>
      </c>
      <c r="G34" s="21" t="s">
        <v>63</v>
      </c>
      <c r="H34" s="37" t="s">
        <v>244</v>
      </c>
      <c r="I34" s="37" t="s">
        <v>64</v>
      </c>
    </row>
    <row r="35" spans="1:9" x14ac:dyDescent="0.25">
      <c r="A35" s="46" t="s">
        <v>9</v>
      </c>
      <c r="B35" s="35" t="s">
        <v>9</v>
      </c>
      <c r="C35" s="44" t="s">
        <v>247</v>
      </c>
      <c r="D35" s="35" t="s">
        <v>23</v>
      </c>
      <c r="E35" s="27" t="s">
        <v>99</v>
      </c>
      <c r="F35" s="35" t="s">
        <v>100</v>
      </c>
      <c r="G35" s="24" t="s">
        <v>66</v>
      </c>
      <c r="H35" s="37" t="s">
        <v>244</v>
      </c>
      <c r="I35" s="37" t="s">
        <v>64</v>
      </c>
    </row>
    <row r="36" spans="1:9" x14ac:dyDescent="0.25">
      <c r="A36" s="46" t="s">
        <v>9</v>
      </c>
      <c r="B36" s="35" t="s">
        <v>9</v>
      </c>
      <c r="C36" s="44" t="s">
        <v>247</v>
      </c>
      <c r="D36" s="35" t="s">
        <v>23</v>
      </c>
      <c r="E36" s="27" t="s">
        <v>101</v>
      </c>
      <c r="F36" s="35" t="s">
        <v>102</v>
      </c>
      <c r="G36" s="21" t="s">
        <v>63</v>
      </c>
      <c r="H36" s="37" t="s">
        <v>245</v>
      </c>
      <c r="I36" s="37" t="s">
        <v>67</v>
      </c>
    </row>
    <row r="37" spans="1:9" x14ac:dyDescent="0.25">
      <c r="A37" s="46" t="s">
        <v>9</v>
      </c>
      <c r="B37" s="35" t="s">
        <v>9</v>
      </c>
      <c r="C37" s="44" t="s">
        <v>247</v>
      </c>
      <c r="D37" s="35" t="s">
        <v>23</v>
      </c>
      <c r="E37" s="27" t="s">
        <v>103</v>
      </c>
      <c r="F37" s="35" t="s">
        <v>104</v>
      </c>
      <c r="G37" s="21" t="s">
        <v>63</v>
      </c>
      <c r="H37" s="22" t="s">
        <v>245</v>
      </c>
      <c r="I37" s="22" t="s">
        <v>67</v>
      </c>
    </row>
    <row r="38" spans="1:9" x14ac:dyDescent="0.25">
      <c r="A38" s="46" t="s">
        <v>9</v>
      </c>
      <c r="B38" s="35" t="s">
        <v>9</v>
      </c>
      <c r="C38" s="44" t="s">
        <v>247</v>
      </c>
      <c r="D38" s="35" t="s">
        <v>105</v>
      </c>
      <c r="E38" s="27"/>
      <c r="F38" s="35" t="s">
        <v>106</v>
      </c>
      <c r="G38" s="24" t="s">
        <v>63</v>
      </c>
      <c r="H38" s="37" t="s">
        <v>245</v>
      </c>
      <c r="I38" s="37" t="s">
        <v>67</v>
      </c>
    </row>
    <row r="39" spans="1:9" x14ac:dyDescent="0.25">
      <c r="A39" s="46" t="s">
        <v>9</v>
      </c>
      <c r="B39" s="35" t="s">
        <v>9</v>
      </c>
      <c r="C39" s="44" t="s">
        <v>247</v>
      </c>
      <c r="D39" s="35" t="s">
        <v>27</v>
      </c>
      <c r="E39" s="27"/>
      <c r="F39" s="35" t="s">
        <v>107</v>
      </c>
      <c r="G39" s="21" t="s">
        <v>66</v>
      </c>
      <c r="H39" s="22" t="s">
        <v>245</v>
      </c>
      <c r="I39" s="22" t="s">
        <v>67</v>
      </c>
    </row>
    <row r="40" spans="1:9" x14ac:dyDescent="0.25">
      <c r="A40" s="46" t="s">
        <v>9</v>
      </c>
      <c r="B40" s="35" t="s">
        <v>9</v>
      </c>
      <c r="C40" s="44" t="s">
        <v>247</v>
      </c>
      <c r="D40" s="35" t="s">
        <v>24</v>
      </c>
      <c r="E40" s="27" t="s">
        <v>61</v>
      </c>
      <c r="F40" s="35" t="s">
        <v>108</v>
      </c>
      <c r="G40" s="21" t="s">
        <v>66</v>
      </c>
      <c r="H40" s="37" t="s">
        <v>245</v>
      </c>
      <c r="I40" s="37" t="s">
        <v>67</v>
      </c>
    </row>
    <row r="41" spans="1:9" x14ac:dyDescent="0.25">
      <c r="A41" s="46" t="s">
        <v>9</v>
      </c>
      <c r="B41" s="35" t="s">
        <v>9</v>
      </c>
      <c r="C41" s="44" t="s">
        <v>247</v>
      </c>
      <c r="D41" s="35" t="s">
        <v>24</v>
      </c>
      <c r="E41" s="27" t="s">
        <v>70</v>
      </c>
      <c r="F41" s="35" t="s">
        <v>109</v>
      </c>
      <c r="G41" s="21" t="s">
        <v>66</v>
      </c>
      <c r="H41" s="22" t="s">
        <v>246</v>
      </c>
      <c r="I41" s="22" t="s">
        <v>69</v>
      </c>
    </row>
    <row r="42" spans="1:9" x14ac:dyDescent="0.25">
      <c r="A42" s="46" t="s">
        <v>9</v>
      </c>
      <c r="B42" s="35" t="s">
        <v>9</v>
      </c>
      <c r="C42" s="44" t="s">
        <v>247</v>
      </c>
      <c r="D42" s="35" t="s">
        <v>24</v>
      </c>
      <c r="E42" s="27" t="s">
        <v>99</v>
      </c>
      <c r="F42" s="35" t="s">
        <v>110</v>
      </c>
      <c r="G42" s="21" t="s">
        <v>63</v>
      </c>
      <c r="H42" s="22" t="s">
        <v>245</v>
      </c>
      <c r="I42" s="22" t="s">
        <v>67</v>
      </c>
    </row>
    <row r="43" spans="1:9" x14ac:dyDescent="0.25">
      <c r="A43" s="46" t="s">
        <v>9</v>
      </c>
      <c r="B43" s="35" t="s">
        <v>9</v>
      </c>
      <c r="C43" s="44" t="s">
        <v>247</v>
      </c>
      <c r="D43" s="35" t="s">
        <v>24</v>
      </c>
      <c r="E43" s="27" t="s">
        <v>101</v>
      </c>
      <c r="F43" s="35" t="s">
        <v>111</v>
      </c>
      <c r="G43" s="21" t="s">
        <v>66</v>
      </c>
      <c r="H43" s="37" t="s">
        <v>246</v>
      </c>
      <c r="I43" s="37" t="s">
        <v>69</v>
      </c>
    </row>
    <row r="44" spans="1:9" x14ac:dyDescent="0.25">
      <c r="A44" s="46" t="s">
        <v>9</v>
      </c>
      <c r="B44" s="35" t="s">
        <v>9</v>
      </c>
      <c r="C44" s="44" t="s">
        <v>247</v>
      </c>
      <c r="D44" s="35" t="s">
        <v>112</v>
      </c>
      <c r="E44" s="27" t="s">
        <v>103</v>
      </c>
      <c r="F44" s="35" t="s">
        <v>113</v>
      </c>
      <c r="G44" s="21" t="s">
        <v>63</v>
      </c>
      <c r="H44" s="37" t="s">
        <v>246</v>
      </c>
      <c r="I44" s="37" t="s">
        <v>69</v>
      </c>
    </row>
    <row r="45" spans="1:9" x14ac:dyDescent="0.25">
      <c r="A45" s="46" t="s">
        <v>9</v>
      </c>
      <c r="B45" s="35" t="s">
        <v>9</v>
      </c>
      <c r="C45" s="44" t="s">
        <v>247</v>
      </c>
      <c r="D45" s="35" t="s">
        <v>112</v>
      </c>
      <c r="E45" s="27" t="s">
        <v>114</v>
      </c>
      <c r="F45" s="35" t="s">
        <v>115</v>
      </c>
      <c r="G45" s="21" t="s">
        <v>66</v>
      </c>
      <c r="H45" s="37" t="s">
        <v>246</v>
      </c>
      <c r="I45" s="37" t="s">
        <v>69</v>
      </c>
    </row>
    <row r="46" spans="1:9" x14ac:dyDescent="0.25">
      <c r="A46" s="46" t="s">
        <v>9</v>
      </c>
      <c r="B46" s="35" t="s">
        <v>9</v>
      </c>
      <c r="C46" s="44" t="s">
        <v>247</v>
      </c>
      <c r="D46" s="35" t="s">
        <v>112</v>
      </c>
      <c r="E46" s="27" t="s">
        <v>116</v>
      </c>
      <c r="F46" s="35" t="s">
        <v>117</v>
      </c>
      <c r="G46" s="21" t="s">
        <v>66</v>
      </c>
      <c r="H46" s="22" t="s">
        <v>246</v>
      </c>
      <c r="I46" s="22" t="s">
        <v>69</v>
      </c>
    </row>
    <row r="47" spans="1:9" x14ac:dyDescent="0.25">
      <c r="A47" s="46" t="s">
        <v>9</v>
      </c>
      <c r="B47" s="35" t="s">
        <v>9</v>
      </c>
      <c r="C47" s="44" t="s">
        <v>247</v>
      </c>
      <c r="D47" s="35" t="s">
        <v>112</v>
      </c>
      <c r="E47" s="27" t="s">
        <v>118</v>
      </c>
      <c r="F47" s="35" t="s">
        <v>119</v>
      </c>
      <c r="G47" s="24" t="s">
        <v>63</v>
      </c>
      <c r="H47" s="22" t="s">
        <v>246</v>
      </c>
      <c r="I47" s="22" t="s">
        <v>69</v>
      </c>
    </row>
    <row r="48" spans="1:9" x14ac:dyDescent="0.25">
      <c r="A48" s="46" t="s">
        <v>9</v>
      </c>
      <c r="B48" s="35" t="s">
        <v>9</v>
      </c>
      <c r="C48" s="44" t="s">
        <v>247</v>
      </c>
      <c r="D48" s="35" t="s">
        <v>112</v>
      </c>
      <c r="E48" s="27" t="s">
        <v>120</v>
      </c>
      <c r="F48" s="35" t="s">
        <v>121</v>
      </c>
      <c r="G48" s="24" t="s">
        <v>66</v>
      </c>
      <c r="H48" s="23" t="s">
        <v>245</v>
      </c>
      <c r="I48" s="23" t="s">
        <v>67</v>
      </c>
    </row>
    <row r="49" spans="1:9" x14ac:dyDescent="0.25">
      <c r="A49" s="46" t="s">
        <v>9</v>
      </c>
      <c r="B49" s="35" t="s">
        <v>9</v>
      </c>
      <c r="C49" s="44" t="s">
        <v>247</v>
      </c>
      <c r="D49" s="35" t="s">
        <v>112</v>
      </c>
      <c r="E49" s="27" t="s">
        <v>122</v>
      </c>
      <c r="F49" s="35" t="s">
        <v>123</v>
      </c>
      <c r="G49" s="21" t="s">
        <v>63</v>
      </c>
      <c r="H49" s="37" t="s">
        <v>246</v>
      </c>
      <c r="I49" s="37" t="s">
        <v>69</v>
      </c>
    </row>
    <row r="50" spans="1:9" ht="24" customHeight="1" x14ac:dyDescent="0.25">
      <c r="A50" s="46" t="s">
        <v>9</v>
      </c>
      <c r="B50" s="35" t="s">
        <v>9</v>
      </c>
      <c r="C50" s="44" t="s">
        <v>247</v>
      </c>
      <c r="D50" s="35" t="s">
        <v>124</v>
      </c>
      <c r="E50" s="27" t="s">
        <v>103</v>
      </c>
      <c r="F50" s="35" t="s">
        <v>125</v>
      </c>
      <c r="G50" s="24" t="s">
        <v>66</v>
      </c>
      <c r="H50" s="37" t="s">
        <v>245</v>
      </c>
      <c r="I50" s="37" t="s">
        <v>67</v>
      </c>
    </row>
    <row r="51" spans="1:9" x14ac:dyDescent="0.25">
      <c r="A51" s="46" t="s">
        <v>9</v>
      </c>
      <c r="B51" s="35" t="s">
        <v>9</v>
      </c>
      <c r="C51" s="44" t="s">
        <v>247</v>
      </c>
      <c r="D51" s="35" t="s">
        <v>124</v>
      </c>
      <c r="E51" s="27" t="s">
        <v>114</v>
      </c>
      <c r="F51" s="35" t="s">
        <v>126</v>
      </c>
      <c r="G51" s="24" t="s">
        <v>63</v>
      </c>
      <c r="H51" s="23" t="s">
        <v>244</v>
      </c>
      <c r="I51" s="23" t="s">
        <v>64</v>
      </c>
    </row>
    <row r="52" spans="1:9" ht="24" customHeight="1" x14ac:dyDescent="0.25">
      <c r="A52" s="46" t="s">
        <v>9</v>
      </c>
      <c r="B52" s="35" t="s">
        <v>9</v>
      </c>
      <c r="C52" s="44" t="s">
        <v>247</v>
      </c>
      <c r="D52" s="35" t="s">
        <v>127</v>
      </c>
      <c r="E52" s="27" t="s">
        <v>61</v>
      </c>
      <c r="F52" s="35" t="s">
        <v>128</v>
      </c>
      <c r="G52" s="21" t="s">
        <v>66</v>
      </c>
      <c r="H52" s="37" t="s">
        <v>245</v>
      </c>
      <c r="I52" s="37" t="s">
        <v>67</v>
      </c>
    </row>
    <row r="53" spans="1:9" ht="24" customHeight="1" x14ac:dyDescent="0.25">
      <c r="A53" s="46" t="s">
        <v>9</v>
      </c>
      <c r="B53" s="35" t="s">
        <v>9</v>
      </c>
      <c r="C53" s="44" t="s">
        <v>247</v>
      </c>
      <c r="D53" s="35" t="s">
        <v>127</v>
      </c>
      <c r="E53" s="27" t="s">
        <v>70</v>
      </c>
      <c r="F53" s="35" t="s">
        <v>129</v>
      </c>
      <c r="G53" s="24" t="s">
        <v>66</v>
      </c>
      <c r="H53" s="23" t="s">
        <v>245</v>
      </c>
      <c r="I53" s="23" t="s">
        <v>67</v>
      </c>
    </row>
    <row r="54" spans="1:9" x14ac:dyDescent="0.25">
      <c r="A54" s="46" t="s">
        <v>9</v>
      </c>
      <c r="B54" s="35" t="s">
        <v>9</v>
      </c>
      <c r="C54" s="44" t="s">
        <v>247</v>
      </c>
      <c r="D54" s="35" t="s">
        <v>127</v>
      </c>
      <c r="E54" s="27" t="s">
        <v>99</v>
      </c>
      <c r="F54" s="35" t="s">
        <v>130</v>
      </c>
      <c r="G54" s="24" t="s">
        <v>63</v>
      </c>
      <c r="H54" s="23" t="s">
        <v>245</v>
      </c>
      <c r="I54" s="23" t="s">
        <v>67</v>
      </c>
    </row>
    <row r="55" spans="1:9" x14ac:dyDescent="0.25">
      <c r="A55" s="46" t="s">
        <v>9</v>
      </c>
      <c r="B55" s="35" t="s">
        <v>9</v>
      </c>
      <c r="C55" s="44" t="s">
        <v>247</v>
      </c>
      <c r="D55" s="35" t="s">
        <v>131</v>
      </c>
      <c r="E55" s="27" t="s">
        <v>61</v>
      </c>
      <c r="F55" s="35" t="s">
        <v>132</v>
      </c>
      <c r="G55" s="21" t="s">
        <v>63</v>
      </c>
      <c r="H55" s="23" t="s">
        <v>244</v>
      </c>
      <c r="I55" s="23" t="s">
        <v>64</v>
      </c>
    </row>
    <row r="56" spans="1:9" x14ac:dyDescent="0.25">
      <c r="A56" s="46" t="s">
        <v>9</v>
      </c>
      <c r="B56" s="35" t="s">
        <v>9</v>
      </c>
      <c r="C56" s="44" t="s">
        <v>247</v>
      </c>
      <c r="D56" s="35" t="s">
        <v>131</v>
      </c>
      <c r="E56" s="27" t="s">
        <v>70</v>
      </c>
      <c r="F56" s="35" t="s">
        <v>133</v>
      </c>
      <c r="G56" s="24" t="s">
        <v>63</v>
      </c>
      <c r="H56" s="23" t="s">
        <v>245</v>
      </c>
      <c r="I56" s="23" t="s">
        <v>67</v>
      </c>
    </row>
    <row r="57" spans="1:9" x14ac:dyDescent="0.25">
      <c r="A57" s="46" t="s">
        <v>9</v>
      </c>
      <c r="B57" s="35" t="s">
        <v>9</v>
      </c>
      <c r="C57" s="44" t="s">
        <v>247</v>
      </c>
      <c r="D57" s="35" t="s">
        <v>131</v>
      </c>
      <c r="E57" s="27" t="s">
        <v>99</v>
      </c>
      <c r="F57" s="35" t="s">
        <v>134</v>
      </c>
      <c r="G57" s="24" t="s">
        <v>63</v>
      </c>
      <c r="H57" s="23" t="s">
        <v>244</v>
      </c>
      <c r="I57" s="23" t="s">
        <v>64</v>
      </c>
    </row>
    <row r="58" spans="1:9" x14ac:dyDescent="0.25">
      <c r="A58" s="46" t="s">
        <v>9</v>
      </c>
      <c r="B58" s="35" t="s">
        <v>9</v>
      </c>
      <c r="C58" s="44" t="s">
        <v>247</v>
      </c>
      <c r="D58" s="35" t="s">
        <v>131</v>
      </c>
      <c r="E58" s="27" t="s">
        <v>101</v>
      </c>
      <c r="F58" s="35" t="s">
        <v>135</v>
      </c>
      <c r="G58" s="21" t="s">
        <v>66</v>
      </c>
      <c r="H58" s="23" t="s">
        <v>245</v>
      </c>
      <c r="I58" s="23" t="s">
        <v>67</v>
      </c>
    </row>
    <row r="59" spans="1:9" x14ac:dyDescent="0.25">
      <c r="A59" s="46" t="s">
        <v>9</v>
      </c>
      <c r="B59" s="35" t="s">
        <v>9</v>
      </c>
      <c r="C59" s="44" t="s">
        <v>247</v>
      </c>
      <c r="D59" s="35" t="s">
        <v>136</v>
      </c>
      <c r="E59" s="27" t="s">
        <v>61</v>
      </c>
      <c r="F59" s="35" t="s">
        <v>137</v>
      </c>
      <c r="G59" s="24" t="s">
        <v>63</v>
      </c>
      <c r="H59" s="37" t="s">
        <v>245</v>
      </c>
      <c r="I59" s="37" t="s">
        <v>67</v>
      </c>
    </row>
    <row r="60" spans="1:9" x14ac:dyDescent="0.25">
      <c r="A60" s="46" t="s">
        <v>9</v>
      </c>
      <c r="B60" s="35" t="s">
        <v>9</v>
      </c>
      <c r="C60" s="44" t="s">
        <v>247</v>
      </c>
      <c r="D60" s="35" t="s">
        <v>136</v>
      </c>
      <c r="E60" s="27" t="s">
        <v>70</v>
      </c>
      <c r="F60" s="35" t="s">
        <v>138</v>
      </c>
      <c r="G60" s="21" t="s">
        <v>63</v>
      </c>
      <c r="H60" s="23" t="s">
        <v>244</v>
      </c>
      <c r="I60" s="23" t="s">
        <v>64</v>
      </c>
    </row>
    <row r="61" spans="1:9" x14ac:dyDescent="0.25">
      <c r="A61" s="46" t="s">
        <v>9</v>
      </c>
      <c r="B61" s="35" t="s">
        <v>9</v>
      </c>
      <c r="C61" s="44" t="s">
        <v>247</v>
      </c>
      <c r="D61" s="35" t="s">
        <v>136</v>
      </c>
      <c r="E61" s="27" t="s">
        <v>99</v>
      </c>
      <c r="F61" s="35" t="s">
        <v>139</v>
      </c>
      <c r="G61" s="21" t="s">
        <v>66</v>
      </c>
      <c r="H61" s="23" t="s">
        <v>244</v>
      </c>
      <c r="I61" s="23" t="s">
        <v>64</v>
      </c>
    </row>
    <row r="62" spans="1:9" x14ac:dyDescent="0.25">
      <c r="A62" s="46" t="s">
        <v>9</v>
      </c>
      <c r="B62" s="35" t="s">
        <v>9</v>
      </c>
      <c r="C62" s="44" t="s">
        <v>247</v>
      </c>
      <c r="D62" s="35" t="s">
        <v>136</v>
      </c>
      <c r="E62" s="27" t="s">
        <v>101</v>
      </c>
      <c r="F62" s="35" t="s">
        <v>140</v>
      </c>
      <c r="G62" s="21" t="s">
        <v>66</v>
      </c>
      <c r="H62" s="22" t="s">
        <v>246</v>
      </c>
      <c r="I62" s="22" t="s">
        <v>69</v>
      </c>
    </row>
    <row r="63" spans="1:9" x14ac:dyDescent="0.25">
      <c r="A63" s="46" t="s">
        <v>9</v>
      </c>
      <c r="B63" s="35" t="s">
        <v>9</v>
      </c>
      <c r="C63" s="44" t="s">
        <v>247</v>
      </c>
      <c r="D63" s="35" t="s">
        <v>233</v>
      </c>
      <c r="E63" s="27"/>
      <c r="F63" s="35" t="s">
        <v>142</v>
      </c>
      <c r="G63" s="21" t="s">
        <v>63</v>
      </c>
      <c r="H63" s="37" t="s">
        <v>245</v>
      </c>
      <c r="I63" s="37" t="s">
        <v>67</v>
      </c>
    </row>
    <row r="64" spans="1:9" x14ac:dyDescent="0.25">
      <c r="A64" s="46" t="s">
        <v>9</v>
      </c>
      <c r="B64" s="35" t="s">
        <v>9</v>
      </c>
      <c r="C64" s="44" t="s">
        <v>247</v>
      </c>
      <c r="D64" s="35" t="s">
        <v>144</v>
      </c>
      <c r="E64" s="27"/>
      <c r="F64" s="35" t="s">
        <v>145</v>
      </c>
      <c r="G64" s="21" t="s">
        <v>63</v>
      </c>
      <c r="H64" s="22" t="s">
        <v>246</v>
      </c>
      <c r="I64" s="22" t="s">
        <v>69</v>
      </c>
    </row>
    <row r="65" spans="1:9" x14ac:dyDescent="0.25">
      <c r="A65" s="46" t="s">
        <v>9</v>
      </c>
      <c r="B65" s="35" t="s">
        <v>9</v>
      </c>
      <c r="C65" s="44" t="s">
        <v>247</v>
      </c>
      <c r="D65" s="35" t="s">
        <v>146</v>
      </c>
      <c r="E65" s="27" t="s">
        <v>103</v>
      </c>
      <c r="F65" s="35" t="s">
        <v>147</v>
      </c>
      <c r="G65" s="24" t="s">
        <v>66</v>
      </c>
      <c r="H65" s="37" t="s">
        <v>244</v>
      </c>
      <c r="I65" s="37" t="s">
        <v>64</v>
      </c>
    </row>
    <row r="66" spans="1:9" x14ac:dyDescent="0.25">
      <c r="A66" s="46" t="s">
        <v>9</v>
      </c>
      <c r="B66" s="35" t="s">
        <v>9</v>
      </c>
      <c r="C66" s="44" t="s">
        <v>247</v>
      </c>
      <c r="D66" s="35" t="s">
        <v>146</v>
      </c>
      <c r="E66" s="27" t="s">
        <v>118</v>
      </c>
      <c r="F66" s="35" t="s">
        <v>148</v>
      </c>
      <c r="G66" s="24" t="s">
        <v>66</v>
      </c>
      <c r="H66" s="37" t="s">
        <v>245</v>
      </c>
      <c r="I66" s="37" t="s">
        <v>67</v>
      </c>
    </row>
    <row r="67" spans="1:9" x14ac:dyDescent="0.25">
      <c r="A67" s="46" t="s">
        <v>9</v>
      </c>
      <c r="B67" s="35" t="s">
        <v>9</v>
      </c>
      <c r="C67" s="44" t="s">
        <v>247</v>
      </c>
      <c r="D67" s="35" t="s">
        <v>149</v>
      </c>
      <c r="E67" s="27" t="s">
        <v>99</v>
      </c>
      <c r="F67" s="35" t="s">
        <v>150</v>
      </c>
      <c r="G67" s="21" t="s">
        <v>66</v>
      </c>
      <c r="H67" s="22" t="s">
        <v>245</v>
      </c>
      <c r="I67" s="22" t="s">
        <v>67</v>
      </c>
    </row>
    <row r="68" spans="1:9" x14ac:dyDescent="0.25">
      <c r="A68" s="46" t="s">
        <v>9</v>
      </c>
      <c r="B68" s="35" t="s">
        <v>9</v>
      </c>
      <c r="C68" s="44" t="s">
        <v>247</v>
      </c>
      <c r="D68" s="35" t="s">
        <v>149</v>
      </c>
      <c r="E68" s="27" t="s">
        <v>101</v>
      </c>
      <c r="F68" s="35" t="s">
        <v>151</v>
      </c>
      <c r="G68" s="24" t="s">
        <v>63</v>
      </c>
      <c r="H68" s="37" t="s">
        <v>244</v>
      </c>
      <c r="I68" s="37" t="s">
        <v>64</v>
      </c>
    </row>
    <row r="69" spans="1:9" x14ac:dyDescent="0.25">
      <c r="A69" s="46" t="s">
        <v>9</v>
      </c>
      <c r="B69" s="35" t="s">
        <v>9</v>
      </c>
      <c r="C69" s="44" t="s">
        <v>247</v>
      </c>
      <c r="D69" s="35" t="s">
        <v>152</v>
      </c>
      <c r="E69" s="27" t="s">
        <v>61</v>
      </c>
      <c r="F69" s="35" t="s">
        <v>153</v>
      </c>
      <c r="G69" s="24" t="s">
        <v>63</v>
      </c>
      <c r="H69" s="37" t="s">
        <v>245</v>
      </c>
      <c r="I69" s="37" t="s">
        <v>67</v>
      </c>
    </row>
    <row r="70" spans="1:9" x14ac:dyDescent="0.25">
      <c r="A70" s="46" t="s">
        <v>9</v>
      </c>
      <c r="B70" s="35" t="s">
        <v>9</v>
      </c>
      <c r="C70" s="44" t="s">
        <v>247</v>
      </c>
      <c r="D70" s="35" t="s">
        <v>152</v>
      </c>
      <c r="E70" s="27" t="s">
        <v>70</v>
      </c>
      <c r="F70" s="35" t="s">
        <v>154</v>
      </c>
      <c r="G70" s="21" t="s">
        <v>66</v>
      </c>
      <c r="H70" s="37" t="s">
        <v>245</v>
      </c>
      <c r="I70" s="37" t="s">
        <v>67</v>
      </c>
    </row>
    <row r="71" spans="1:9" x14ac:dyDescent="0.25">
      <c r="A71" s="46" t="s">
        <v>9</v>
      </c>
      <c r="B71" s="35" t="s">
        <v>9</v>
      </c>
      <c r="C71" s="44" t="s">
        <v>247</v>
      </c>
      <c r="D71" s="35" t="s">
        <v>152</v>
      </c>
      <c r="E71" s="27" t="s">
        <v>99</v>
      </c>
      <c r="F71" s="35" t="s">
        <v>155</v>
      </c>
      <c r="G71" s="24" t="s">
        <v>63</v>
      </c>
      <c r="H71" s="37" t="s">
        <v>245</v>
      </c>
      <c r="I71" s="37" t="s">
        <v>67</v>
      </c>
    </row>
    <row r="72" spans="1:9" x14ac:dyDescent="0.25">
      <c r="A72" s="46" t="s">
        <v>9</v>
      </c>
      <c r="B72" s="35" t="s">
        <v>9</v>
      </c>
      <c r="C72" s="44" t="s">
        <v>247</v>
      </c>
      <c r="D72" s="35" t="s">
        <v>156</v>
      </c>
      <c r="E72" s="27" t="s">
        <v>61</v>
      </c>
      <c r="F72" s="35" t="s">
        <v>157</v>
      </c>
      <c r="G72" s="21" t="s">
        <v>63</v>
      </c>
      <c r="H72" s="37" t="s">
        <v>245</v>
      </c>
      <c r="I72" s="37" t="s">
        <v>67</v>
      </c>
    </row>
    <row r="73" spans="1:9" x14ac:dyDescent="0.25">
      <c r="A73" s="46" t="s">
        <v>9</v>
      </c>
      <c r="B73" s="35" t="s">
        <v>9</v>
      </c>
      <c r="C73" s="44" t="s">
        <v>247</v>
      </c>
      <c r="D73" s="35" t="s">
        <v>156</v>
      </c>
      <c r="E73" s="27" t="s">
        <v>70</v>
      </c>
      <c r="F73" s="35" t="s">
        <v>158</v>
      </c>
      <c r="G73" s="21" t="s">
        <v>63</v>
      </c>
      <c r="H73" s="22" t="s">
        <v>244</v>
      </c>
      <c r="I73" s="22" t="s">
        <v>64</v>
      </c>
    </row>
    <row r="74" spans="1:9" x14ac:dyDescent="0.25">
      <c r="A74" s="46" t="s">
        <v>9</v>
      </c>
      <c r="B74" s="35" t="s">
        <v>9</v>
      </c>
      <c r="C74" s="44" t="s">
        <v>247</v>
      </c>
      <c r="D74" s="35" t="s">
        <v>156</v>
      </c>
      <c r="E74" s="27" t="s">
        <v>114</v>
      </c>
      <c r="F74" s="35" t="s">
        <v>159</v>
      </c>
      <c r="G74" s="21" t="s">
        <v>63</v>
      </c>
      <c r="H74" s="23" t="s">
        <v>245</v>
      </c>
      <c r="I74" s="23" t="s">
        <v>67</v>
      </c>
    </row>
    <row r="75" spans="1:9" x14ac:dyDescent="0.25">
      <c r="A75" s="46" t="s">
        <v>9</v>
      </c>
      <c r="B75" s="35" t="s">
        <v>250</v>
      </c>
      <c r="C75" s="43" t="s">
        <v>4</v>
      </c>
      <c r="D75" s="35" t="s">
        <v>23</v>
      </c>
      <c r="E75" s="27"/>
      <c r="F75" s="35" t="s">
        <v>161</v>
      </c>
      <c r="G75" s="24" t="s">
        <v>66</v>
      </c>
      <c r="H75" s="22" t="s">
        <v>245</v>
      </c>
      <c r="I75" s="22" t="s">
        <v>67</v>
      </c>
    </row>
    <row r="76" spans="1:9" x14ac:dyDescent="0.25">
      <c r="A76" s="46" t="s">
        <v>9</v>
      </c>
      <c r="B76" s="35" t="s">
        <v>9</v>
      </c>
      <c r="C76" s="43" t="s">
        <v>4</v>
      </c>
      <c r="D76" s="35" t="s">
        <v>23</v>
      </c>
      <c r="E76" s="27" t="s">
        <v>61</v>
      </c>
      <c r="F76" s="35" t="s">
        <v>162</v>
      </c>
      <c r="G76" s="21" t="s">
        <v>66</v>
      </c>
      <c r="H76" s="22" t="s">
        <v>245</v>
      </c>
      <c r="I76" s="22" t="s">
        <v>67</v>
      </c>
    </row>
    <row r="77" spans="1:9" x14ac:dyDescent="0.25">
      <c r="A77" s="46" t="s">
        <v>9</v>
      </c>
      <c r="B77" s="35" t="s">
        <v>163</v>
      </c>
      <c r="C77" s="43" t="s">
        <v>4</v>
      </c>
      <c r="D77" s="35" t="s">
        <v>23</v>
      </c>
      <c r="E77" s="27" t="s">
        <v>61</v>
      </c>
      <c r="F77" s="35" t="s">
        <v>164</v>
      </c>
      <c r="G77" s="21" t="s">
        <v>66</v>
      </c>
      <c r="H77" s="22" t="s">
        <v>245</v>
      </c>
      <c r="I77" s="22" t="s">
        <v>67</v>
      </c>
    </row>
    <row r="78" spans="1:9" x14ac:dyDescent="0.25">
      <c r="A78" s="46" t="s">
        <v>9</v>
      </c>
      <c r="B78" s="35" t="s">
        <v>9</v>
      </c>
      <c r="C78" s="43" t="s">
        <v>4</v>
      </c>
      <c r="D78" s="35" t="s">
        <v>23</v>
      </c>
      <c r="E78" s="27" t="s">
        <v>70</v>
      </c>
      <c r="F78" s="35" t="s">
        <v>165</v>
      </c>
      <c r="G78" s="21" t="s">
        <v>63</v>
      </c>
      <c r="H78" s="22" t="s">
        <v>245</v>
      </c>
      <c r="I78" s="22" t="s">
        <v>67</v>
      </c>
    </row>
    <row r="79" spans="1:9" x14ac:dyDescent="0.25">
      <c r="A79" s="46" t="s">
        <v>9</v>
      </c>
      <c r="B79" s="35" t="s">
        <v>163</v>
      </c>
      <c r="C79" s="43" t="s">
        <v>4</v>
      </c>
      <c r="D79" s="35" t="s">
        <v>23</v>
      </c>
      <c r="E79" s="27" t="s">
        <v>70</v>
      </c>
      <c r="F79" s="35" t="s">
        <v>166</v>
      </c>
      <c r="G79" s="24" t="s">
        <v>66</v>
      </c>
      <c r="H79" s="22" t="s">
        <v>245</v>
      </c>
      <c r="I79" s="22" t="s">
        <v>67</v>
      </c>
    </row>
    <row r="80" spans="1:9" x14ac:dyDescent="0.25">
      <c r="A80" s="46" t="s">
        <v>9</v>
      </c>
      <c r="B80" s="35" t="s">
        <v>9</v>
      </c>
      <c r="C80" s="43" t="s">
        <v>4</v>
      </c>
      <c r="D80" s="35" t="s">
        <v>23</v>
      </c>
      <c r="E80" s="27" t="s">
        <v>99</v>
      </c>
      <c r="F80" s="35" t="s">
        <v>167</v>
      </c>
      <c r="G80" s="21" t="s">
        <v>66</v>
      </c>
      <c r="H80" s="22" t="s">
        <v>245</v>
      </c>
      <c r="I80" s="22" t="s">
        <v>67</v>
      </c>
    </row>
    <row r="81" spans="1:9" x14ac:dyDescent="0.25">
      <c r="A81" s="46" t="s">
        <v>9</v>
      </c>
      <c r="B81" s="35" t="s">
        <v>168</v>
      </c>
      <c r="C81" s="43" t="s">
        <v>4</v>
      </c>
      <c r="D81" s="35" t="s">
        <v>23</v>
      </c>
      <c r="E81" s="27" t="s">
        <v>99</v>
      </c>
      <c r="F81" s="35" t="s">
        <v>169</v>
      </c>
      <c r="G81" s="21" t="s">
        <v>66</v>
      </c>
      <c r="H81" s="22" t="s">
        <v>244</v>
      </c>
      <c r="I81" s="22" t="s">
        <v>64</v>
      </c>
    </row>
    <row r="82" spans="1:9" x14ac:dyDescent="0.25">
      <c r="A82" s="46" t="s">
        <v>9</v>
      </c>
      <c r="B82" s="35" t="s">
        <v>168</v>
      </c>
      <c r="C82" s="43" t="s">
        <v>4</v>
      </c>
      <c r="D82" s="35" t="s">
        <v>24</v>
      </c>
      <c r="E82" s="27" t="s">
        <v>61</v>
      </c>
      <c r="F82" s="35" t="s">
        <v>170</v>
      </c>
      <c r="G82" s="24" t="s">
        <v>63</v>
      </c>
      <c r="H82" s="22" t="s">
        <v>244</v>
      </c>
      <c r="I82" s="22" t="s">
        <v>64</v>
      </c>
    </row>
    <row r="83" spans="1:9" x14ac:dyDescent="0.25">
      <c r="A83" s="46" t="s">
        <v>9</v>
      </c>
      <c r="B83" s="35" t="s">
        <v>168</v>
      </c>
      <c r="C83" s="43" t="s">
        <v>4</v>
      </c>
      <c r="D83" s="35" t="s">
        <v>24</v>
      </c>
      <c r="E83" s="27" t="s">
        <v>70</v>
      </c>
      <c r="F83" s="35" t="s">
        <v>171</v>
      </c>
      <c r="G83" s="21" t="s">
        <v>63</v>
      </c>
      <c r="H83" s="22" t="s">
        <v>245</v>
      </c>
      <c r="I83" s="22" t="s">
        <v>67</v>
      </c>
    </row>
    <row r="84" spans="1:9" x14ac:dyDescent="0.25">
      <c r="A84" s="46" t="s">
        <v>9</v>
      </c>
      <c r="B84" s="35" t="s">
        <v>9</v>
      </c>
      <c r="C84" s="42" t="s">
        <v>4</v>
      </c>
      <c r="D84" s="35" t="s">
        <v>25</v>
      </c>
      <c r="E84" s="27"/>
      <c r="F84" s="35" t="s">
        <v>172</v>
      </c>
      <c r="G84" s="21" t="s">
        <v>66</v>
      </c>
      <c r="H84" s="37" t="s">
        <v>245</v>
      </c>
      <c r="I84" s="37" t="s">
        <v>67</v>
      </c>
    </row>
    <row r="85" spans="1:9" x14ac:dyDescent="0.25">
      <c r="A85" s="46" t="s">
        <v>9</v>
      </c>
      <c r="B85" s="35" t="s">
        <v>168</v>
      </c>
      <c r="C85" s="42" t="s">
        <v>4</v>
      </c>
      <c r="D85" s="35" t="s">
        <v>26</v>
      </c>
      <c r="E85" s="27" t="s">
        <v>101</v>
      </c>
      <c r="F85" s="35" t="s">
        <v>173</v>
      </c>
      <c r="G85" s="21" t="s">
        <v>66</v>
      </c>
      <c r="H85" s="22" t="s">
        <v>245</v>
      </c>
      <c r="I85" s="22" t="s">
        <v>67</v>
      </c>
    </row>
    <row r="86" spans="1:9" x14ac:dyDescent="0.25">
      <c r="A86" s="46" t="s">
        <v>10</v>
      </c>
      <c r="B86" s="35" t="s">
        <v>10</v>
      </c>
      <c r="C86" s="44" t="s">
        <v>247</v>
      </c>
      <c r="D86" s="35" t="s">
        <v>23</v>
      </c>
      <c r="E86" s="27"/>
      <c r="F86" s="35" t="s">
        <v>179</v>
      </c>
      <c r="G86" s="24" t="s">
        <v>63</v>
      </c>
      <c r="H86" s="37" t="s">
        <v>244</v>
      </c>
      <c r="I86" s="37" t="s">
        <v>64</v>
      </c>
    </row>
    <row r="87" spans="1:9" x14ac:dyDescent="0.25">
      <c r="A87" s="46" t="s">
        <v>10</v>
      </c>
      <c r="B87" s="35" t="s">
        <v>10</v>
      </c>
      <c r="C87" s="44" t="s">
        <v>247</v>
      </c>
      <c r="D87" s="35" t="s">
        <v>112</v>
      </c>
      <c r="E87" s="27"/>
      <c r="F87" s="35" t="s">
        <v>180</v>
      </c>
      <c r="G87" s="21" t="s">
        <v>63</v>
      </c>
      <c r="H87" s="22" t="s">
        <v>246</v>
      </c>
      <c r="I87" s="22" t="s">
        <v>69</v>
      </c>
    </row>
    <row r="88" spans="1:9" x14ac:dyDescent="0.25">
      <c r="A88" s="46" t="s">
        <v>10</v>
      </c>
      <c r="B88" s="35" t="s">
        <v>10</v>
      </c>
      <c r="C88" s="44" t="s">
        <v>247</v>
      </c>
      <c r="D88" s="35" t="s">
        <v>131</v>
      </c>
      <c r="E88" s="27" t="s">
        <v>61</v>
      </c>
      <c r="F88" s="35" t="s">
        <v>181</v>
      </c>
      <c r="G88" s="24" t="s">
        <v>66</v>
      </c>
      <c r="H88" s="22" t="s">
        <v>244</v>
      </c>
      <c r="I88" s="22" t="s">
        <v>64</v>
      </c>
    </row>
    <row r="89" spans="1:9" x14ac:dyDescent="0.25">
      <c r="A89" s="46" t="s">
        <v>10</v>
      </c>
      <c r="B89" s="35" t="s">
        <v>10</v>
      </c>
      <c r="C89" s="44" t="s">
        <v>247</v>
      </c>
      <c r="D89" s="35" t="s">
        <v>131</v>
      </c>
      <c r="E89" s="27" t="s">
        <v>70</v>
      </c>
      <c r="F89" s="35" t="s">
        <v>182</v>
      </c>
      <c r="G89" s="21" t="s">
        <v>63</v>
      </c>
      <c r="H89" s="37" t="s">
        <v>244</v>
      </c>
      <c r="I89" s="37" t="s">
        <v>64</v>
      </c>
    </row>
    <row r="90" spans="1:9" x14ac:dyDescent="0.25">
      <c r="A90" s="46" t="s">
        <v>10</v>
      </c>
      <c r="B90" s="35" t="s">
        <v>10</v>
      </c>
      <c r="C90" s="44" t="s">
        <v>247</v>
      </c>
      <c r="D90" s="35" t="s">
        <v>131</v>
      </c>
      <c r="E90" s="27" t="s">
        <v>99</v>
      </c>
      <c r="F90" s="35" t="s">
        <v>183</v>
      </c>
      <c r="G90" s="24" t="s">
        <v>63</v>
      </c>
      <c r="H90" s="37" t="s">
        <v>244</v>
      </c>
      <c r="I90" s="37" t="s">
        <v>64</v>
      </c>
    </row>
    <row r="91" spans="1:9" x14ac:dyDescent="0.25">
      <c r="A91" s="46" t="s">
        <v>10</v>
      </c>
      <c r="B91" s="35" t="s">
        <v>10</v>
      </c>
      <c r="C91" s="44" t="s">
        <v>247</v>
      </c>
      <c r="D91" s="35" t="s">
        <v>149</v>
      </c>
      <c r="E91" s="27" t="s">
        <v>70</v>
      </c>
      <c r="F91" s="35" t="s">
        <v>184</v>
      </c>
      <c r="G91" s="21" t="s">
        <v>63</v>
      </c>
      <c r="H91" s="37" t="s">
        <v>246</v>
      </c>
      <c r="I91" s="37" t="s">
        <v>69</v>
      </c>
    </row>
    <row r="92" spans="1:9" x14ac:dyDescent="0.25">
      <c r="A92" s="46" t="s">
        <v>10</v>
      </c>
      <c r="B92" s="35" t="s">
        <v>10</v>
      </c>
      <c r="C92" s="44" t="s">
        <v>247</v>
      </c>
      <c r="D92" s="35" t="s">
        <v>156</v>
      </c>
      <c r="E92" s="27" t="s">
        <v>61</v>
      </c>
      <c r="F92" s="35" t="s">
        <v>185</v>
      </c>
      <c r="G92" s="24" t="s">
        <v>63</v>
      </c>
      <c r="H92" s="37" t="s">
        <v>244</v>
      </c>
      <c r="I92" s="37" t="s">
        <v>64</v>
      </c>
    </row>
    <row r="93" spans="1:9" x14ac:dyDescent="0.25">
      <c r="A93" s="46" t="s">
        <v>10</v>
      </c>
      <c r="B93" s="35" t="s">
        <v>10</v>
      </c>
      <c r="C93" s="42" t="s">
        <v>4</v>
      </c>
      <c r="D93" s="35" t="s">
        <v>23</v>
      </c>
      <c r="E93" s="27" t="s">
        <v>61</v>
      </c>
      <c r="F93" s="35" t="s">
        <v>188</v>
      </c>
      <c r="G93" s="21" t="s">
        <v>66</v>
      </c>
      <c r="H93" s="37" t="s">
        <v>245</v>
      </c>
      <c r="I93" s="37" t="s">
        <v>67</v>
      </c>
    </row>
    <row r="94" spans="1:9" x14ac:dyDescent="0.25">
      <c r="A94" s="46" t="s">
        <v>11</v>
      </c>
      <c r="B94" s="35" t="s">
        <v>11</v>
      </c>
      <c r="C94" s="44" t="s">
        <v>247</v>
      </c>
      <c r="D94" s="35" t="s">
        <v>23</v>
      </c>
      <c r="E94" s="27"/>
      <c r="F94" s="35" t="s">
        <v>190</v>
      </c>
      <c r="G94" s="21" t="s">
        <v>63</v>
      </c>
      <c r="H94" s="22" t="s">
        <v>244</v>
      </c>
      <c r="I94" s="22" t="s">
        <v>64</v>
      </c>
    </row>
    <row r="95" spans="1:9" x14ac:dyDescent="0.25">
      <c r="A95" s="46" t="s">
        <v>11</v>
      </c>
      <c r="B95" s="35" t="s">
        <v>11</v>
      </c>
      <c r="C95" s="44" t="s">
        <v>247</v>
      </c>
      <c r="D95" s="35" t="s">
        <v>24</v>
      </c>
      <c r="E95" s="27"/>
      <c r="F95" s="35" t="s">
        <v>191</v>
      </c>
      <c r="G95" s="21" t="s">
        <v>66</v>
      </c>
      <c r="H95" s="23" t="s">
        <v>246</v>
      </c>
      <c r="I95" s="23" t="s">
        <v>69</v>
      </c>
    </row>
    <row r="96" spans="1:9" x14ac:dyDescent="0.25">
      <c r="A96" s="46" t="s">
        <v>11</v>
      </c>
      <c r="B96" s="35" t="s">
        <v>11</v>
      </c>
      <c r="C96" s="44" t="s">
        <v>247</v>
      </c>
      <c r="D96" s="35" t="s">
        <v>131</v>
      </c>
      <c r="E96" s="27" t="s">
        <v>61</v>
      </c>
      <c r="F96" s="35" t="s">
        <v>192</v>
      </c>
      <c r="G96" s="24" t="s">
        <v>63</v>
      </c>
      <c r="H96" s="22" t="s">
        <v>244</v>
      </c>
      <c r="I96" s="22" t="s">
        <v>64</v>
      </c>
    </row>
    <row r="97" spans="1:9" x14ac:dyDescent="0.25">
      <c r="A97" s="46" t="s">
        <v>11</v>
      </c>
      <c r="B97" s="35" t="s">
        <v>11</v>
      </c>
      <c r="C97" s="44" t="s">
        <v>247</v>
      </c>
      <c r="D97" s="35" t="s">
        <v>131</v>
      </c>
      <c r="E97" s="27" t="s">
        <v>70</v>
      </c>
      <c r="F97" s="35" t="s">
        <v>193</v>
      </c>
      <c r="G97" s="21" t="s">
        <v>63</v>
      </c>
      <c r="H97" s="22" t="s">
        <v>244</v>
      </c>
      <c r="I97" s="22" t="s">
        <v>64</v>
      </c>
    </row>
    <row r="98" spans="1:9" x14ac:dyDescent="0.25">
      <c r="A98" s="46" t="s">
        <v>11</v>
      </c>
      <c r="B98" s="35" t="s">
        <v>11</v>
      </c>
      <c r="C98" s="44" t="s">
        <v>247</v>
      </c>
      <c r="D98" s="35" t="s">
        <v>156</v>
      </c>
      <c r="E98" s="27" t="s">
        <v>61</v>
      </c>
      <c r="F98" s="35" t="s">
        <v>194</v>
      </c>
      <c r="G98" s="21" t="s">
        <v>66</v>
      </c>
      <c r="H98" s="23" t="s">
        <v>244</v>
      </c>
      <c r="I98" s="23" t="s">
        <v>64</v>
      </c>
    </row>
    <row r="99" spans="1:9" x14ac:dyDescent="0.25">
      <c r="A99" s="46" t="s">
        <v>11</v>
      </c>
      <c r="B99" s="35" t="s">
        <v>11</v>
      </c>
      <c r="C99" s="44" t="s">
        <v>247</v>
      </c>
      <c r="D99" s="35" t="s">
        <v>156</v>
      </c>
      <c r="E99" s="27" t="s">
        <v>70</v>
      </c>
      <c r="F99" s="35" t="s">
        <v>195</v>
      </c>
      <c r="G99" s="21" t="s">
        <v>63</v>
      </c>
      <c r="H99" s="22" t="s">
        <v>244</v>
      </c>
      <c r="I99" s="22" t="s">
        <v>64</v>
      </c>
    </row>
    <row r="100" spans="1:9" x14ac:dyDescent="0.25">
      <c r="A100" s="46" t="s">
        <v>11</v>
      </c>
      <c r="B100" s="35" t="s">
        <v>11</v>
      </c>
      <c r="C100" s="42" t="s">
        <v>4</v>
      </c>
      <c r="D100" s="35" t="s">
        <v>23</v>
      </c>
      <c r="E100" s="27"/>
      <c r="F100" s="35" t="s">
        <v>196</v>
      </c>
      <c r="G100" s="21" t="s">
        <v>63</v>
      </c>
      <c r="H100" s="22" t="s">
        <v>245</v>
      </c>
      <c r="I100" s="22" t="s">
        <v>67</v>
      </c>
    </row>
    <row r="101" spans="1:9" x14ac:dyDescent="0.25">
      <c r="A101" s="46" t="s">
        <v>13</v>
      </c>
      <c r="B101" s="35" t="s">
        <v>13</v>
      </c>
      <c r="C101" s="44" t="s">
        <v>247</v>
      </c>
      <c r="D101" s="35" t="s">
        <v>23</v>
      </c>
      <c r="E101" s="27"/>
      <c r="F101" s="35" t="s">
        <v>198</v>
      </c>
      <c r="G101" s="24" t="s">
        <v>63</v>
      </c>
      <c r="H101" s="22" t="s">
        <v>244</v>
      </c>
      <c r="I101" s="22" t="s">
        <v>64</v>
      </c>
    </row>
    <row r="102" spans="1:9" x14ac:dyDescent="0.25">
      <c r="A102" s="46" t="s">
        <v>13</v>
      </c>
      <c r="B102" s="35" t="s">
        <v>13</v>
      </c>
      <c r="C102" s="44" t="s">
        <v>247</v>
      </c>
      <c r="D102" s="35" t="s">
        <v>199</v>
      </c>
      <c r="E102" s="27"/>
      <c r="F102" s="35" t="s">
        <v>200</v>
      </c>
      <c r="G102" s="21" t="s">
        <v>63</v>
      </c>
      <c r="H102" s="22" t="s">
        <v>245</v>
      </c>
      <c r="I102" s="22" t="s">
        <v>67</v>
      </c>
    </row>
    <row r="103" spans="1:9" x14ac:dyDescent="0.25">
      <c r="A103" s="46" t="s">
        <v>13</v>
      </c>
      <c r="B103" s="35" t="s">
        <v>13</v>
      </c>
      <c r="C103" s="44" t="s">
        <v>247</v>
      </c>
      <c r="D103" s="35" t="s">
        <v>131</v>
      </c>
      <c r="E103" s="27"/>
      <c r="F103" s="35" t="s">
        <v>201</v>
      </c>
      <c r="G103" s="21" t="s">
        <v>63</v>
      </c>
      <c r="H103" s="23" t="s">
        <v>244</v>
      </c>
      <c r="I103" s="23" t="s">
        <v>64</v>
      </c>
    </row>
    <row r="104" spans="1:9" x14ac:dyDescent="0.25">
      <c r="A104" s="46" t="s">
        <v>13</v>
      </c>
      <c r="B104" s="35" t="s">
        <v>13</v>
      </c>
      <c r="C104" s="44" t="s">
        <v>247</v>
      </c>
      <c r="D104" s="35" t="s">
        <v>156</v>
      </c>
      <c r="E104" s="27"/>
      <c r="F104" s="35" t="s">
        <v>202</v>
      </c>
      <c r="G104" s="21" t="s">
        <v>63</v>
      </c>
      <c r="H104" s="23" t="s">
        <v>244</v>
      </c>
      <c r="I104" s="23" t="s">
        <v>64</v>
      </c>
    </row>
    <row r="105" spans="1:9" x14ac:dyDescent="0.25">
      <c r="A105" s="46" t="s">
        <v>13</v>
      </c>
      <c r="B105" s="35" t="s">
        <v>13</v>
      </c>
      <c r="C105" s="42" t="s">
        <v>4</v>
      </c>
      <c r="D105" s="35" t="s">
        <v>23</v>
      </c>
      <c r="E105" s="27"/>
      <c r="F105" s="35" t="s">
        <v>203</v>
      </c>
      <c r="G105" s="21" t="s">
        <v>63</v>
      </c>
      <c r="H105" s="22" t="s">
        <v>245</v>
      </c>
      <c r="I105" s="22" t="s">
        <v>67</v>
      </c>
    </row>
    <row r="106" spans="1:9" x14ac:dyDescent="0.25">
      <c r="A106" s="46" t="s">
        <v>14</v>
      </c>
      <c r="B106" s="35" t="s">
        <v>14</v>
      </c>
      <c r="C106" s="44" t="s">
        <v>247</v>
      </c>
      <c r="D106" s="35" t="s">
        <v>23</v>
      </c>
      <c r="E106" s="27"/>
      <c r="F106" s="35" t="s">
        <v>205</v>
      </c>
      <c r="G106" s="21" t="s">
        <v>66</v>
      </c>
      <c r="H106" s="22" t="s">
        <v>245</v>
      </c>
      <c r="I106" s="22" t="s">
        <v>67</v>
      </c>
    </row>
    <row r="107" spans="1:9" x14ac:dyDescent="0.25">
      <c r="A107" s="46" t="s">
        <v>14</v>
      </c>
      <c r="B107" s="35" t="s">
        <v>14</v>
      </c>
      <c r="C107" s="44" t="s">
        <v>247</v>
      </c>
      <c r="D107" s="35" t="s">
        <v>131</v>
      </c>
      <c r="E107" s="27"/>
      <c r="F107" s="35" t="s">
        <v>206</v>
      </c>
      <c r="G107" s="24" t="s">
        <v>63</v>
      </c>
      <c r="H107" s="22" t="s">
        <v>246</v>
      </c>
      <c r="I107" s="22" t="s">
        <v>69</v>
      </c>
    </row>
    <row r="108" spans="1:9" x14ac:dyDescent="0.25">
      <c r="A108" s="46" t="s">
        <v>14</v>
      </c>
      <c r="B108" s="35" t="s">
        <v>14</v>
      </c>
      <c r="C108" s="44" t="s">
        <v>247</v>
      </c>
      <c r="D108" s="35" t="s">
        <v>156</v>
      </c>
      <c r="E108" s="27"/>
      <c r="F108" s="35" t="s">
        <v>207</v>
      </c>
      <c r="G108" s="21" t="s">
        <v>63</v>
      </c>
      <c r="H108" s="22" t="s">
        <v>244</v>
      </c>
      <c r="I108" s="22" t="s">
        <v>64</v>
      </c>
    </row>
    <row r="109" spans="1:9" x14ac:dyDescent="0.25">
      <c r="A109" s="46" t="s">
        <v>14</v>
      </c>
      <c r="B109" s="35" t="s">
        <v>14</v>
      </c>
      <c r="C109" s="42" t="s">
        <v>4</v>
      </c>
      <c r="D109" s="35" t="s">
        <v>23</v>
      </c>
      <c r="E109" s="27"/>
      <c r="F109" s="35" t="s">
        <v>208</v>
      </c>
      <c r="G109" s="21" t="s">
        <v>63</v>
      </c>
      <c r="H109" s="23" t="s">
        <v>245</v>
      </c>
      <c r="I109" s="23" t="s">
        <v>67</v>
      </c>
    </row>
    <row r="110" spans="1:9" x14ac:dyDescent="0.25">
      <c r="A110" s="46" t="s">
        <v>15</v>
      </c>
      <c r="B110" s="35" t="s">
        <v>210</v>
      </c>
      <c r="C110" s="44" t="s">
        <v>247</v>
      </c>
      <c r="D110" s="35" t="s">
        <v>23</v>
      </c>
      <c r="E110" s="27"/>
      <c r="F110" s="35" t="s">
        <v>211</v>
      </c>
      <c r="G110" s="21" t="s">
        <v>63</v>
      </c>
      <c r="H110" s="23" t="s">
        <v>244</v>
      </c>
      <c r="I110" s="23" t="s">
        <v>64</v>
      </c>
    </row>
    <row r="111" spans="1:9" x14ac:dyDescent="0.25">
      <c r="A111" s="46" t="s">
        <v>15</v>
      </c>
      <c r="B111" s="35" t="s">
        <v>210</v>
      </c>
      <c r="C111" s="44" t="s">
        <v>247</v>
      </c>
      <c r="D111" s="35" t="s">
        <v>131</v>
      </c>
      <c r="E111" s="27"/>
      <c r="F111" s="35" t="s">
        <v>212</v>
      </c>
      <c r="G111" s="21" t="s">
        <v>66</v>
      </c>
      <c r="H111" s="22" t="s">
        <v>244</v>
      </c>
      <c r="I111" s="22" t="s">
        <v>64</v>
      </c>
    </row>
    <row r="112" spans="1:9" x14ac:dyDescent="0.25">
      <c r="A112" s="46" t="s">
        <v>15</v>
      </c>
      <c r="B112" s="35" t="s">
        <v>210</v>
      </c>
      <c r="C112" s="44" t="s">
        <v>247</v>
      </c>
      <c r="D112" s="35" t="s">
        <v>156</v>
      </c>
      <c r="E112" s="27"/>
      <c r="F112" s="35" t="s">
        <v>213</v>
      </c>
      <c r="G112" s="21" t="s">
        <v>66</v>
      </c>
      <c r="H112" s="22" t="s">
        <v>244</v>
      </c>
      <c r="I112" s="22" t="s">
        <v>64</v>
      </c>
    </row>
    <row r="113" spans="1:9" x14ac:dyDescent="0.25">
      <c r="A113" s="46" t="s">
        <v>15</v>
      </c>
      <c r="B113" s="35" t="s">
        <v>210</v>
      </c>
      <c r="C113" s="42" t="s">
        <v>4</v>
      </c>
      <c r="D113" s="35" t="s">
        <v>23</v>
      </c>
      <c r="E113" s="27"/>
      <c r="F113" s="35" t="s">
        <v>214</v>
      </c>
      <c r="G113" s="24" t="s">
        <v>66</v>
      </c>
      <c r="H113" s="22" t="s">
        <v>245</v>
      </c>
      <c r="I113" s="22" t="s">
        <v>67</v>
      </c>
    </row>
    <row r="114" spans="1:9" x14ac:dyDescent="0.25">
      <c r="A114" s="46" t="s">
        <v>16</v>
      </c>
      <c r="B114" s="35" t="s">
        <v>16</v>
      </c>
      <c r="C114" s="44" t="s">
        <v>247</v>
      </c>
      <c r="D114" s="35" t="s">
        <v>23</v>
      </c>
      <c r="E114" s="27"/>
      <c r="F114" s="35" t="s">
        <v>216</v>
      </c>
      <c r="G114" s="21" t="s">
        <v>63</v>
      </c>
      <c r="H114" s="22" t="s">
        <v>245</v>
      </c>
      <c r="I114" s="22" t="s">
        <v>67</v>
      </c>
    </row>
    <row r="115" spans="1:9" x14ac:dyDescent="0.25">
      <c r="A115" s="46" t="s">
        <v>16</v>
      </c>
      <c r="B115" s="35" t="s">
        <v>16</v>
      </c>
      <c r="C115" s="44" t="s">
        <v>247</v>
      </c>
      <c r="D115" s="35" t="s">
        <v>131</v>
      </c>
      <c r="E115" s="27"/>
      <c r="F115" s="35" t="s">
        <v>217</v>
      </c>
      <c r="G115" s="21" t="s">
        <v>63</v>
      </c>
      <c r="H115" s="23" t="s">
        <v>244</v>
      </c>
      <c r="I115" s="23" t="s">
        <v>64</v>
      </c>
    </row>
    <row r="116" spans="1:9" x14ac:dyDescent="0.25">
      <c r="A116" s="46" t="s">
        <v>16</v>
      </c>
      <c r="B116" s="35" t="s">
        <v>16</v>
      </c>
      <c r="C116" s="44" t="s">
        <v>247</v>
      </c>
      <c r="D116" s="35" t="s">
        <v>156</v>
      </c>
      <c r="E116" s="27"/>
      <c r="F116" s="35" t="s">
        <v>218</v>
      </c>
      <c r="G116" s="21" t="s">
        <v>63</v>
      </c>
      <c r="H116" s="23" t="s">
        <v>244</v>
      </c>
      <c r="I116" s="23" t="s">
        <v>64</v>
      </c>
    </row>
    <row r="117" spans="1:9" x14ac:dyDescent="0.25">
      <c r="A117" s="46" t="s">
        <v>16</v>
      </c>
      <c r="B117" s="35" t="s">
        <v>16</v>
      </c>
      <c r="C117" s="42" t="s">
        <v>4</v>
      </c>
      <c r="D117" s="35" t="s">
        <v>23</v>
      </c>
      <c r="E117" s="27"/>
      <c r="F117" s="35" t="s">
        <v>219</v>
      </c>
      <c r="G117" s="21" t="s">
        <v>63</v>
      </c>
      <c r="H117" s="22" t="s">
        <v>245</v>
      </c>
      <c r="I117" s="22" t="s">
        <v>67</v>
      </c>
    </row>
    <row r="118" spans="1:9" x14ac:dyDescent="0.25">
      <c r="A118" s="46" t="s">
        <v>12</v>
      </c>
      <c r="B118" s="35" t="s">
        <v>221</v>
      </c>
      <c r="C118" s="44" t="s">
        <v>247</v>
      </c>
      <c r="D118" s="35" t="s">
        <v>23</v>
      </c>
      <c r="E118" s="27"/>
      <c r="F118" s="35" t="s">
        <v>222</v>
      </c>
      <c r="G118" s="21" t="s">
        <v>63</v>
      </c>
      <c r="H118" s="22" t="s">
        <v>245</v>
      </c>
      <c r="I118" s="22" t="s">
        <v>67</v>
      </c>
    </row>
    <row r="119" spans="1:9" x14ac:dyDescent="0.25">
      <c r="A119" s="46" t="s">
        <v>12</v>
      </c>
      <c r="B119" s="35" t="s">
        <v>221</v>
      </c>
      <c r="C119" s="44" t="s">
        <v>247</v>
      </c>
      <c r="D119" s="35" t="s">
        <v>131</v>
      </c>
      <c r="E119" s="27"/>
      <c r="F119" s="35" t="s">
        <v>223</v>
      </c>
      <c r="G119" s="24" t="s">
        <v>66</v>
      </c>
      <c r="H119" s="22" t="s">
        <v>244</v>
      </c>
      <c r="I119" s="22" t="s">
        <v>64</v>
      </c>
    </row>
    <row r="120" spans="1:9" x14ac:dyDescent="0.25">
      <c r="A120" s="46" t="s">
        <v>12</v>
      </c>
      <c r="B120" s="35" t="s">
        <v>221</v>
      </c>
      <c r="C120" s="44" t="s">
        <v>247</v>
      </c>
      <c r="D120" s="35" t="s">
        <v>156</v>
      </c>
      <c r="E120" s="27"/>
      <c r="F120" s="35" t="s">
        <v>224</v>
      </c>
      <c r="G120" s="21" t="s">
        <v>63</v>
      </c>
      <c r="H120" s="22" t="s">
        <v>246</v>
      </c>
      <c r="I120" s="22" t="s">
        <v>69</v>
      </c>
    </row>
    <row r="121" spans="1:9" x14ac:dyDescent="0.25">
      <c r="A121" s="46" t="s">
        <v>12</v>
      </c>
      <c r="B121" s="35" t="s">
        <v>221</v>
      </c>
      <c r="C121" s="42" t="s">
        <v>4</v>
      </c>
      <c r="D121" s="35" t="s">
        <v>23</v>
      </c>
      <c r="E121" s="27"/>
      <c r="F121" s="35" t="s">
        <v>225</v>
      </c>
      <c r="G121" s="21" t="s">
        <v>63</v>
      </c>
      <c r="H121" s="23" t="s">
        <v>245</v>
      </c>
      <c r="I121" s="23" t="s">
        <v>67</v>
      </c>
    </row>
    <row r="122" spans="1:9" x14ac:dyDescent="0.25">
      <c r="A122" s="46" t="s">
        <v>12</v>
      </c>
      <c r="B122" s="35" t="s">
        <v>186</v>
      </c>
      <c r="C122" s="42" t="s">
        <v>4</v>
      </c>
      <c r="D122" s="35" t="s">
        <v>23</v>
      </c>
      <c r="E122" s="27"/>
      <c r="F122" s="35" t="s">
        <v>187</v>
      </c>
      <c r="G122" s="21" t="s">
        <v>63</v>
      </c>
      <c r="H122" s="23" t="s">
        <v>245</v>
      </c>
      <c r="I122" s="23" t="s">
        <v>67</v>
      </c>
    </row>
    <row r="123" spans="1:9" x14ac:dyDescent="0.25">
      <c r="A123" s="46" t="s">
        <v>12</v>
      </c>
      <c r="B123" s="35" t="s">
        <v>226</v>
      </c>
      <c r="C123" s="42" t="s">
        <v>4</v>
      </c>
      <c r="D123" s="35" t="s">
        <v>23</v>
      </c>
      <c r="E123" s="27"/>
      <c r="F123" s="35" t="s">
        <v>227</v>
      </c>
      <c r="G123" s="21" t="s">
        <v>63</v>
      </c>
      <c r="H123" s="22" t="s">
        <v>245</v>
      </c>
      <c r="I123" s="22" t="s">
        <v>67</v>
      </c>
    </row>
  </sheetData>
  <mergeCells count="1">
    <mergeCell ref="A1:I1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8">
    <tabColor theme="7"/>
  </sheetPr>
  <dimension ref="A1:P49"/>
  <sheetViews>
    <sheetView zoomScale="115" zoomScaleNormal="115" workbookViewId="0">
      <selection sqref="A1:A1048576"/>
    </sheetView>
  </sheetViews>
  <sheetFormatPr baseColWidth="10" defaultColWidth="8.7109375" defaultRowHeight="15" x14ac:dyDescent="0.25"/>
  <cols>
    <col min="1" max="1" width="20" style="2" customWidth="1"/>
    <col min="2" max="2" width="36" style="2" bestFit="1" customWidth="1"/>
    <col min="3" max="7" width="14.140625" style="2" customWidth="1"/>
    <col min="8" max="8" width="8.7109375" style="2" customWidth="1"/>
    <col min="9" max="16384" width="8.7109375" style="2"/>
  </cols>
  <sheetData>
    <row r="1" spans="1:7" x14ac:dyDescent="0.25">
      <c r="A1" s="51" t="s">
        <v>256</v>
      </c>
      <c r="B1" s="51" t="s">
        <v>257</v>
      </c>
      <c r="C1" s="51" t="s">
        <v>258</v>
      </c>
      <c r="D1" s="51" t="s">
        <v>259</v>
      </c>
      <c r="E1" s="51" t="s">
        <v>260</v>
      </c>
      <c r="F1" s="51" t="s">
        <v>261</v>
      </c>
      <c r="G1" s="51" t="s">
        <v>262</v>
      </c>
    </row>
    <row r="2" spans="1:7" x14ac:dyDescent="0.25">
      <c r="A2" s="55">
        <v>2021</v>
      </c>
      <c r="B2" s="55" t="s">
        <v>263</v>
      </c>
      <c r="C2" s="55">
        <v>377</v>
      </c>
      <c r="D2" s="55">
        <v>341</v>
      </c>
      <c r="E2" s="55">
        <v>36</v>
      </c>
      <c r="F2" s="56">
        <v>0.90500000000000003</v>
      </c>
      <c r="G2" s="56">
        <v>9.5000000000000001E-2</v>
      </c>
    </row>
    <row r="3" spans="1:7" x14ac:dyDescent="0.25">
      <c r="A3" s="55">
        <v>2021</v>
      </c>
      <c r="B3" s="55" t="s">
        <v>264</v>
      </c>
      <c r="C3" s="55">
        <v>402</v>
      </c>
      <c r="D3" s="55">
        <v>376</v>
      </c>
      <c r="E3" s="55">
        <v>26</v>
      </c>
      <c r="F3" s="56">
        <v>0.93500000000000005</v>
      </c>
      <c r="G3" s="56">
        <v>6.5000000000000002E-2</v>
      </c>
    </row>
    <row r="4" spans="1:7" x14ac:dyDescent="0.25">
      <c r="A4" s="55">
        <v>2021</v>
      </c>
      <c r="B4" s="55" t="s">
        <v>265</v>
      </c>
      <c r="C4" s="55">
        <v>435</v>
      </c>
      <c r="D4" s="55">
        <v>405</v>
      </c>
      <c r="E4" s="55">
        <v>30</v>
      </c>
      <c r="F4" s="56">
        <v>0.93100000000000005</v>
      </c>
      <c r="G4" s="56">
        <v>6.9000000000000006E-2</v>
      </c>
    </row>
    <row r="5" spans="1:7" x14ac:dyDescent="0.25">
      <c r="A5" s="55">
        <v>2021</v>
      </c>
      <c r="B5" s="55" t="s">
        <v>266</v>
      </c>
      <c r="C5" s="55">
        <v>375</v>
      </c>
      <c r="D5" s="55">
        <v>346</v>
      </c>
      <c r="E5" s="55">
        <v>29</v>
      </c>
      <c r="F5" s="56">
        <v>0.92300000000000004</v>
      </c>
      <c r="G5" s="56">
        <v>7.6999999999999999E-2</v>
      </c>
    </row>
    <row r="6" spans="1:7" x14ac:dyDescent="0.25">
      <c r="A6" s="55">
        <v>2021</v>
      </c>
      <c r="B6" s="55" t="s">
        <v>267</v>
      </c>
      <c r="C6" s="55">
        <v>377</v>
      </c>
      <c r="D6" s="55">
        <v>333</v>
      </c>
      <c r="E6" s="55">
        <v>44</v>
      </c>
      <c r="F6" s="56">
        <v>0.88300000000000001</v>
      </c>
      <c r="G6" s="56">
        <v>0.11700000000000001</v>
      </c>
    </row>
    <row r="7" spans="1:7" x14ac:dyDescent="0.25">
      <c r="A7" s="55">
        <v>2021</v>
      </c>
      <c r="B7" s="55" t="s">
        <v>268</v>
      </c>
      <c r="C7" s="55">
        <v>298</v>
      </c>
      <c r="D7" s="55">
        <v>267</v>
      </c>
      <c r="E7" s="55">
        <v>31</v>
      </c>
      <c r="F7" s="56">
        <v>0.89600000000000002</v>
      </c>
      <c r="G7" s="56">
        <v>0.104</v>
      </c>
    </row>
    <row r="8" spans="1:7" ht="15" customHeight="1" x14ac:dyDescent="0.25">
      <c r="A8" s="55">
        <v>2021</v>
      </c>
      <c r="B8" s="55" t="s">
        <v>269</v>
      </c>
      <c r="C8" s="55">
        <v>490</v>
      </c>
      <c r="D8" s="55">
        <v>392</v>
      </c>
      <c r="E8" s="55">
        <v>98</v>
      </c>
      <c r="F8" s="56">
        <v>0.8</v>
      </c>
      <c r="G8" s="56">
        <v>0.2</v>
      </c>
    </row>
    <row r="9" spans="1:7" x14ac:dyDescent="0.25">
      <c r="A9" s="55">
        <v>2022</v>
      </c>
      <c r="B9" s="55" t="s">
        <v>263</v>
      </c>
      <c r="C9" s="55">
        <v>1519</v>
      </c>
      <c r="D9" s="55">
        <v>1371</v>
      </c>
      <c r="E9" s="55">
        <v>148</v>
      </c>
      <c r="F9" s="56">
        <v>0.90300000000000002</v>
      </c>
      <c r="G9" s="56">
        <v>9.7000000000000003E-2</v>
      </c>
    </row>
    <row r="10" spans="1:7" x14ac:dyDescent="0.25">
      <c r="A10" s="55">
        <v>2022</v>
      </c>
      <c r="B10" s="55" t="s">
        <v>264</v>
      </c>
      <c r="C10" s="55">
        <v>1260</v>
      </c>
      <c r="D10" s="55">
        <v>1139</v>
      </c>
      <c r="E10" s="55">
        <v>121</v>
      </c>
      <c r="F10" s="56">
        <v>0.90400000000000003</v>
      </c>
      <c r="G10" s="56">
        <v>9.6000000000000002E-2</v>
      </c>
    </row>
    <row r="11" spans="1:7" x14ac:dyDescent="0.25">
      <c r="A11" s="55">
        <v>2022</v>
      </c>
      <c r="B11" s="55" t="s">
        <v>265</v>
      </c>
      <c r="C11" s="55">
        <v>1109</v>
      </c>
      <c r="D11" s="55">
        <v>1030</v>
      </c>
      <c r="E11" s="55">
        <v>79</v>
      </c>
      <c r="F11" s="56">
        <v>0.92900000000000005</v>
      </c>
      <c r="G11" s="56">
        <v>7.0999999999999994E-2</v>
      </c>
    </row>
    <row r="12" spans="1:7" x14ac:dyDescent="0.25">
      <c r="A12" s="55">
        <v>2022</v>
      </c>
      <c r="B12" s="55" t="s">
        <v>266</v>
      </c>
      <c r="C12" s="55">
        <v>808</v>
      </c>
      <c r="D12" s="55">
        <v>733</v>
      </c>
      <c r="E12" s="55">
        <v>75</v>
      </c>
      <c r="F12" s="56">
        <v>0.90700000000000003</v>
      </c>
      <c r="G12" s="56">
        <v>9.2999999999999999E-2</v>
      </c>
    </row>
    <row r="13" spans="1:7" x14ac:dyDescent="0.25">
      <c r="A13" s="55">
        <v>2022</v>
      </c>
      <c r="B13" s="55" t="s">
        <v>267</v>
      </c>
      <c r="C13" s="55">
        <v>768</v>
      </c>
      <c r="D13" s="55">
        <v>695</v>
      </c>
      <c r="E13" s="55">
        <v>73</v>
      </c>
      <c r="F13" s="56">
        <v>0.90500000000000003</v>
      </c>
      <c r="G13" s="56">
        <v>9.5000000000000001E-2</v>
      </c>
    </row>
    <row r="14" spans="1:7" x14ac:dyDescent="0.25">
      <c r="A14" s="55">
        <v>2022</v>
      </c>
      <c r="B14" s="55" t="s">
        <v>268</v>
      </c>
      <c r="C14" s="55">
        <v>625</v>
      </c>
      <c r="D14" s="55">
        <v>579</v>
      </c>
      <c r="E14" s="55">
        <v>46</v>
      </c>
      <c r="F14" s="56">
        <v>0.92600000000000005</v>
      </c>
      <c r="G14" s="56">
        <v>7.3999999999999996E-2</v>
      </c>
    </row>
    <row r="15" spans="1:7" x14ac:dyDescent="0.25">
      <c r="A15" s="55">
        <v>2022</v>
      </c>
      <c r="B15" s="55" t="s">
        <v>269</v>
      </c>
      <c r="C15" s="55">
        <v>1651</v>
      </c>
      <c r="D15" s="55">
        <v>1456</v>
      </c>
      <c r="E15" s="55">
        <v>195</v>
      </c>
      <c r="F15" s="56">
        <v>0.88200000000000001</v>
      </c>
      <c r="G15" s="56">
        <v>0.11799999999999999</v>
      </c>
    </row>
    <row r="16" spans="1:7" x14ac:dyDescent="0.25">
      <c r="A16" s="55">
        <v>2023</v>
      </c>
      <c r="B16" s="55" t="s">
        <v>263</v>
      </c>
      <c r="C16" s="55">
        <v>1638</v>
      </c>
      <c r="D16" s="55">
        <v>1436</v>
      </c>
      <c r="E16" s="55">
        <v>202</v>
      </c>
      <c r="F16" s="56">
        <v>0.877</v>
      </c>
      <c r="G16" s="56">
        <v>0.123</v>
      </c>
    </row>
    <row r="17" spans="1:7" x14ac:dyDescent="0.25">
      <c r="A17" s="55">
        <v>2023</v>
      </c>
      <c r="B17" s="55" t="s">
        <v>264</v>
      </c>
      <c r="C17" s="55">
        <v>1462</v>
      </c>
      <c r="D17" s="55">
        <v>1284</v>
      </c>
      <c r="E17" s="55">
        <v>178</v>
      </c>
      <c r="F17" s="56">
        <v>0.878</v>
      </c>
      <c r="G17" s="56">
        <v>0.122</v>
      </c>
    </row>
    <row r="18" spans="1:7" x14ac:dyDescent="0.25">
      <c r="A18" s="55">
        <v>2023</v>
      </c>
      <c r="B18" s="55" t="s">
        <v>265</v>
      </c>
      <c r="C18" s="55">
        <v>1335</v>
      </c>
      <c r="D18" s="55">
        <v>1196</v>
      </c>
      <c r="E18" s="55">
        <v>139</v>
      </c>
      <c r="F18" s="56">
        <v>0.89600000000000002</v>
      </c>
      <c r="G18" s="56">
        <v>0.104</v>
      </c>
    </row>
    <row r="19" spans="1:7" x14ac:dyDescent="0.25">
      <c r="A19" s="55">
        <v>2023</v>
      </c>
      <c r="B19" s="55" t="s">
        <v>266</v>
      </c>
      <c r="C19" s="55">
        <v>902</v>
      </c>
      <c r="D19" s="55">
        <v>842</v>
      </c>
      <c r="E19" s="55">
        <v>60</v>
      </c>
      <c r="F19" s="56">
        <v>0.93300000000000005</v>
      </c>
      <c r="G19" s="56">
        <v>6.7000000000000004E-2</v>
      </c>
    </row>
    <row r="20" spans="1:7" x14ac:dyDescent="0.25">
      <c r="A20" s="55">
        <v>2023</v>
      </c>
      <c r="B20" s="55" t="s">
        <v>267</v>
      </c>
      <c r="C20" s="55">
        <v>957</v>
      </c>
      <c r="D20" s="55">
        <v>888</v>
      </c>
      <c r="E20" s="55">
        <v>69</v>
      </c>
      <c r="F20" s="56">
        <v>0.92800000000000005</v>
      </c>
      <c r="G20" s="56">
        <v>7.1999999999999995E-2</v>
      </c>
    </row>
    <row r="21" spans="1:7" x14ac:dyDescent="0.25">
      <c r="A21" s="55">
        <v>2023</v>
      </c>
      <c r="B21" s="55" t="s">
        <v>268</v>
      </c>
      <c r="C21" s="55">
        <v>740</v>
      </c>
      <c r="D21" s="55">
        <v>680</v>
      </c>
      <c r="E21" s="55">
        <v>60</v>
      </c>
      <c r="F21" s="56">
        <v>0.91900000000000004</v>
      </c>
      <c r="G21" s="56">
        <v>8.1000000000000003E-2</v>
      </c>
    </row>
    <row r="22" spans="1:7" x14ac:dyDescent="0.25">
      <c r="A22" s="55">
        <v>2023</v>
      </c>
      <c r="B22" s="55" t="s">
        <v>269</v>
      </c>
      <c r="C22" s="55">
        <v>1217</v>
      </c>
      <c r="D22" s="55">
        <v>1090</v>
      </c>
      <c r="E22" s="55">
        <v>127</v>
      </c>
      <c r="F22" s="56">
        <v>0.89600000000000002</v>
      </c>
      <c r="G22" s="56">
        <v>0.104</v>
      </c>
    </row>
    <row r="23" spans="1:7" x14ac:dyDescent="0.25">
      <c r="A23" s="55">
        <v>2023</v>
      </c>
      <c r="B23" s="55" t="s">
        <v>270</v>
      </c>
      <c r="C23" s="55">
        <v>152</v>
      </c>
      <c r="D23" s="55">
        <v>151</v>
      </c>
      <c r="E23" s="55">
        <v>1</v>
      </c>
      <c r="F23" s="56">
        <v>0.99299999999999999</v>
      </c>
      <c r="G23" s="56">
        <v>7.0000000000000001E-3</v>
      </c>
    </row>
    <row r="24" spans="1:7" x14ac:dyDescent="0.25">
      <c r="A24" s="55">
        <v>2024</v>
      </c>
      <c r="B24" s="55" t="s">
        <v>263</v>
      </c>
      <c r="C24" s="55">
        <v>1705</v>
      </c>
      <c r="D24" s="55">
        <v>1494</v>
      </c>
      <c r="E24" s="55">
        <v>211</v>
      </c>
      <c r="F24" s="56">
        <v>0.876</v>
      </c>
      <c r="G24" s="56">
        <v>0.124</v>
      </c>
    </row>
    <row r="25" spans="1:7" x14ac:dyDescent="0.25">
      <c r="A25" s="55">
        <v>2024</v>
      </c>
      <c r="B25" s="55" t="s">
        <v>264</v>
      </c>
      <c r="C25" s="55">
        <v>1739</v>
      </c>
      <c r="D25" s="55">
        <v>1497</v>
      </c>
      <c r="E25" s="55">
        <v>242</v>
      </c>
      <c r="F25" s="56">
        <v>0.86099999999999999</v>
      </c>
      <c r="G25" s="56">
        <v>0.13900000000000001</v>
      </c>
    </row>
    <row r="26" spans="1:7" x14ac:dyDescent="0.25">
      <c r="A26" s="55">
        <v>2024</v>
      </c>
      <c r="B26" s="55" t="s">
        <v>265</v>
      </c>
      <c r="C26" s="55">
        <v>1662</v>
      </c>
      <c r="D26" s="55">
        <v>1465</v>
      </c>
      <c r="E26" s="55">
        <v>197</v>
      </c>
      <c r="F26" s="56">
        <v>0.88100000000000001</v>
      </c>
      <c r="G26" s="56">
        <v>0.11899999999999999</v>
      </c>
    </row>
    <row r="27" spans="1:7" x14ac:dyDescent="0.25">
      <c r="A27" s="55">
        <v>2024</v>
      </c>
      <c r="B27" s="55" t="s">
        <v>266</v>
      </c>
      <c r="C27" s="55">
        <v>867</v>
      </c>
      <c r="D27" s="55">
        <v>795</v>
      </c>
      <c r="E27" s="55">
        <v>72</v>
      </c>
      <c r="F27" s="56">
        <v>0.91700000000000004</v>
      </c>
      <c r="G27" s="56">
        <v>8.3000000000000004E-2</v>
      </c>
    </row>
    <row r="28" spans="1:7" x14ac:dyDescent="0.25">
      <c r="A28" s="55">
        <v>2024</v>
      </c>
      <c r="B28" s="55" t="s">
        <v>267</v>
      </c>
      <c r="C28" s="55">
        <v>953</v>
      </c>
      <c r="D28" s="55">
        <v>879</v>
      </c>
      <c r="E28" s="55">
        <v>74</v>
      </c>
      <c r="F28" s="56">
        <v>0.92200000000000004</v>
      </c>
      <c r="G28" s="56">
        <v>7.8E-2</v>
      </c>
    </row>
    <row r="29" spans="1:7" x14ac:dyDescent="0.25">
      <c r="A29" s="55">
        <v>2024</v>
      </c>
      <c r="B29" s="55" t="s">
        <v>268</v>
      </c>
      <c r="C29" s="55">
        <v>848</v>
      </c>
      <c r="D29" s="55">
        <v>785</v>
      </c>
      <c r="E29" s="55">
        <v>63</v>
      </c>
      <c r="F29" s="56">
        <v>0.92600000000000005</v>
      </c>
      <c r="G29" s="56">
        <v>7.3999999999999996E-2</v>
      </c>
    </row>
    <row r="30" spans="1:7" x14ac:dyDescent="0.25">
      <c r="A30" s="55">
        <v>2024</v>
      </c>
      <c r="B30" s="55" t="s">
        <v>269</v>
      </c>
      <c r="C30" s="55">
        <v>835</v>
      </c>
      <c r="D30" s="55">
        <v>682</v>
      </c>
      <c r="E30" s="55">
        <v>153</v>
      </c>
      <c r="F30" s="56">
        <v>0.81699999999999995</v>
      </c>
      <c r="G30" s="56">
        <v>0.183</v>
      </c>
    </row>
    <row r="31" spans="1:7" x14ac:dyDescent="0.25">
      <c r="A31" s="55">
        <v>2024</v>
      </c>
      <c r="B31" s="55" t="s">
        <v>270</v>
      </c>
      <c r="C31" s="55">
        <v>1366</v>
      </c>
      <c r="D31" s="55">
        <v>1214</v>
      </c>
      <c r="E31" s="55">
        <v>152</v>
      </c>
      <c r="F31" s="56">
        <v>0.88900000000000001</v>
      </c>
      <c r="G31" s="56">
        <v>0.111</v>
      </c>
    </row>
    <row r="32" spans="1:7" x14ac:dyDescent="0.25">
      <c r="A32" s="55">
        <v>2025</v>
      </c>
      <c r="B32" s="55" t="s">
        <v>263</v>
      </c>
      <c r="C32" s="55">
        <v>1554</v>
      </c>
      <c r="D32" s="55">
        <v>1388</v>
      </c>
      <c r="E32" s="55">
        <v>166</v>
      </c>
      <c r="F32" s="56">
        <v>0.89300000000000002</v>
      </c>
      <c r="G32" s="56">
        <v>0.107</v>
      </c>
    </row>
    <row r="33" spans="1:16" x14ac:dyDescent="0.25">
      <c r="A33" s="55">
        <v>2025</v>
      </c>
      <c r="B33" s="55" t="s">
        <v>264</v>
      </c>
      <c r="C33" s="55">
        <v>1675</v>
      </c>
      <c r="D33" s="55">
        <v>1457</v>
      </c>
      <c r="E33" s="55">
        <v>218</v>
      </c>
      <c r="F33" s="56">
        <v>0.87</v>
      </c>
      <c r="G33" s="56">
        <v>0.13</v>
      </c>
    </row>
    <row r="34" spans="1:16" x14ac:dyDescent="0.25">
      <c r="A34" s="55">
        <v>2025</v>
      </c>
      <c r="B34" s="55" t="s">
        <v>265</v>
      </c>
      <c r="C34" s="55">
        <v>1710</v>
      </c>
      <c r="D34" s="55">
        <v>1503</v>
      </c>
      <c r="E34" s="55">
        <v>207</v>
      </c>
      <c r="F34" s="56">
        <v>0.879</v>
      </c>
      <c r="G34" s="56">
        <v>0.121</v>
      </c>
    </row>
    <row r="35" spans="1:16" x14ac:dyDescent="0.25">
      <c r="A35" s="55">
        <v>2025</v>
      </c>
      <c r="B35" s="55" t="s">
        <v>266</v>
      </c>
      <c r="C35" s="55">
        <v>1010</v>
      </c>
      <c r="D35" s="55">
        <v>921</v>
      </c>
      <c r="E35" s="55">
        <v>89</v>
      </c>
      <c r="F35" s="56">
        <v>0.91200000000000003</v>
      </c>
      <c r="G35" s="56">
        <v>8.7999999999999995E-2</v>
      </c>
    </row>
    <row r="36" spans="1:16" x14ac:dyDescent="0.25">
      <c r="A36" s="55">
        <v>2025</v>
      </c>
      <c r="B36" s="55" t="s">
        <v>267</v>
      </c>
      <c r="C36" s="55">
        <v>1100</v>
      </c>
      <c r="D36" s="55">
        <v>1005</v>
      </c>
      <c r="E36" s="55">
        <v>95</v>
      </c>
      <c r="F36" s="56">
        <v>0.91400000000000003</v>
      </c>
      <c r="G36" s="56">
        <v>8.5999999999999993E-2</v>
      </c>
    </row>
    <row r="37" spans="1:16" x14ac:dyDescent="0.25">
      <c r="A37" s="55">
        <v>2025</v>
      </c>
      <c r="B37" s="55" t="s">
        <v>268</v>
      </c>
      <c r="C37" s="55">
        <v>1045</v>
      </c>
      <c r="D37" s="55">
        <v>969</v>
      </c>
      <c r="E37" s="55">
        <v>76</v>
      </c>
      <c r="F37" s="56">
        <v>0.92700000000000005</v>
      </c>
      <c r="G37" s="56">
        <v>7.2999999999999995E-2</v>
      </c>
    </row>
    <row r="38" spans="1:16" x14ac:dyDescent="0.25">
      <c r="A38" s="55">
        <v>2025</v>
      </c>
      <c r="B38" s="55" t="s">
        <v>269</v>
      </c>
      <c r="C38" s="55">
        <v>1145</v>
      </c>
      <c r="D38" s="55">
        <v>979</v>
      </c>
      <c r="E38" s="55">
        <v>166</v>
      </c>
      <c r="F38" s="56">
        <v>0.85499999999999998</v>
      </c>
      <c r="G38" s="56">
        <v>0.14499999999999999</v>
      </c>
    </row>
    <row r="39" spans="1:16" x14ac:dyDescent="0.25">
      <c r="A39" s="55">
        <v>2025</v>
      </c>
      <c r="B39" s="55" t="s">
        <v>270</v>
      </c>
      <c r="C39" s="55">
        <v>1727</v>
      </c>
      <c r="D39" s="55">
        <v>1571</v>
      </c>
      <c r="E39" s="55">
        <v>156</v>
      </c>
      <c r="F39" s="56">
        <v>0.91</v>
      </c>
      <c r="G39" s="56">
        <v>0.09</v>
      </c>
    </row>
    <row r="40" spans="1:16" x14ac:dyDescent="0.25">
      <c r="A40" s="55">
        <v>2025</v>
      </c>
      <c r="B40" s="55" t="s">
        <v>271</v>
      </c>
      <c r="C40" s="55">
        <v>842</v>
      </c>
      <c r="D40" s="55">
        <v>767</v>
      </c>
      <c r="E40" s="55">
        <v>75</v>
      </c>
      <c r="F40" s="56">
        <v>0.91100000000000003</v>
      </c>
      <c r="G40" s="56">
        <v>8.8999999999999996E-2</v>
      </c>
    </row>
    <row r="41" spans="1:16" x14ac:dyDescent="0.25">
      <c r="A41" s="55">
        <v>2026</v>
      </c>
      <c r="B41" s="55" t="s">
        <v>263</v>
      </c>
      <c r="C41" s="55">
        <v>395</v>
      </c>
      <c r="D41" s="55">
        <v>366</v>
      </c>
      <c r="E41" s="55">
        <v>29</v>
      </c>
      <c r="F41" s="56">
        <v>0.92700000000000005</v>
      </c>
      <c r="G41" s="56">
        <v>7.2999999999999995E-2</v>
      </c>
    </row>
    <row r="42" spans="1:16" x14ac:dyDescent="0.25">
      <c r="A42" s="55">
        <v>2026</v>
      </c>
      <c r="B42" s="55" t="s">
        <v>264</v>
      </c>
      <c r="C42" s="55">
        <v>426</v>
      </c>
      <c r="D42" s="55">
        <v>395</v>
      </c>
      <c r="E42" s="55">
        <v>31</v>
      </c>
      <c r="F42" s="56">
        <v>0.92700000000000005</v>
      </c>
      <c r="G42" s="56">
        <v>7.2999999999999995E-2</v>
      </c>
    </row>
    <row r="43" spans="1:16" x14ac:dyDescent="0.25">
      <c r="A43" s="55">
        <v>2026</v>
      </c>
      <c r="B43" s="55" t="s">
        <v>265</v>
      </c>
      <c r="C43" s="55">
        <v>380</v>
      </c>
      <c r="D43" s="55">
        <v>341</v>
      </c>
      <c r="E43" s="55">
        <v>39</v>
      </c>
      <c r="F43" s="56">
        <v>0.89700000000000002</v>
      </c>
      <c r="G43" s="56">
        <v>0.10299999999999999</v>
      </c>
      <c r="P43" s="57"/>
    </row>
    <row r="44" spans="1:16" x14ac:dyDescent="0.25">
      <c r="A44" s="55">
        <v>2026</v>
      </c>
      <c r="B44" s="55" t="s">
        <v>266</v>
      </c>
      <c r="C44" s="55">
        <v>349</v>
      </c>
      <c r="D44" s="55">
        <v>330</v>
      </c>
      <c r="E44" s="55">
        <v>19</v>
      </c>
      <c r="F44" s="56">
        <v>0.94599999999999995</v>
      </c>
      <c r="G44" s="56">
        <v>5.3999999999999999E-2</v>
      </c>
    </row>
    <row r="45" spans="1:16" x14ac:dyDescent="0.25">
      <c r="A45" s="55">
        <v>2026</v>
      </c>
      <c r="B45" s="55" t="s">
        <v>267</v>
      </c>
      <c r="C45" s="55">
        <v>308</v>
      </c>
      <c r="D45" s="55">
        <v>278</v>
      </c>
      <c r="E45" s="55">
        <v>30</v>
      </c>
      <c r="F45" s="56">
        <v>0.90300000000000002</v>
      </c>
      <c r="G45" s="56">
        <v>9.7000000000000003E-2</v>
      </c>
    </row>
    <row r="46" spans="1:16" x14ac:dyDescent="0.25">
      <c r="A46" s="55">
        <v>2026</v>
      </c>
      <c r="B46" s="55" t="s">
        <v>268</v>
      </c>
      <c r="C46" s="55">
        <v>271</v>
      </c>
      <c r="D46" s="55">
        <v>254</v>
      </c>
      <c r="E46" s="55">
        <v>17</v>
      </c>
      <c r="F46" s="56">
        <v>0.93700000000000006</v>
      </c>
      <c r="G46" s="56">
        <v>6.3E-2</v>
      </c>
    </row>
    <row r="47" spans="1:16" x14ac:dyDescent="0.25">
      <c r="A47" s="55">
        <v>2026</v>
      </c>
      <c r="B47" s="55" t="s">
        <v>269</v>
      </c>
      <c r="C47" s="55">
        <v>413</v>
      </c>
      <c r="D47" s="55">
        <v>383</v>
      </c>
      <c r="E47" s="55">
        <v>30</v>
      </c>
      <c r="F47" s="56">
        <v>0.92700000000000005</v>
      </c>
      <c r="G47" s="56">
        <v>7.2999999999999995E-2</v>
      </c>
    </row>
    <row r="48" spans="1:16" x14ac:dyDescent="0.25">
      <c r="A48" s="55">
        <v>2026</v>
      </c>
      <c r="B48" s="55" t="s">
        <v>270</v>
      </c>
      <c r="C48" s="55">
        <v>326</v>
      </c>
      <c r="D48" s="55">
        <v>317</v>
      </c>
      <c r="E48" s="55">
        <v>9</v>
      </c>
      <c r="F48" s="56">
        <v>0.97199999999999998</v>
      </c>
      <c r="G48" s="56">
        <v>2.8000000000000001E-2</v>
      </c>
    </row>
    <row r="49" spans="1:7" x14ac:dyDescent="0.25">
      <c r="A49" s="55">
        <v>2026</v>
      </c>
      <c r="B49" s="55" t="s">
        <v>271</v>
      </c>
      <c r="C49" s="55">
        <v>326</v>
      </c>
      <c r="D49" s="55">
        <v>298</v>
      </c>
      <c r="E49" s="55">
        <v>28</v>
      </c>
      <c r="F49" s="56">
        <v>0.91400000000000003</v>
      </c>
      <c r="G49" s="56">
        <v>8.5999999999999993E-2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9">
    <tabColor theme="7"/>
  </sheetPr>
  <dimension ref="A1:G81"/>
  <sheetViews>
    <sheetView topLeftCell="A50" zoomScaleNormal="100" workbookViewId="0">
      <selection activeCell="D2" sqref="D2"/>
    </sheetView>
  </sheetViews>
  <sheetFormatPr baseColWidth="10" defaultColWidth="8.7109375" defaultRowHeight="15" x14ac:dyDescent="0.25"/>
  <cols>
    <col min="1" max="1" width="18" style="2" customWidth="1"/>
    <col min="2" max="2" width="12" style="2" customWidth="1"/>
    <col min="3" max="3" width="14" style="2" customWidth="1"/>
    <col min="4" max="4" width="15.28515625" style="2" bestFit="1" customWidth="1"/>
    <col min="5" max="6" width="14" style="2" customWidth="1"/>
    <col min="7" max="7" width="16" style="2" customWidth="1"/>
    <col min="8" max="8" width="8.7109375" style="2" customWidth="1"/>
    <col min="9" max="16384" width="8.7109375" style="2"/>
  </cols>
  <sheetData>
    <row r="1" spans="1:7" ht="25.5" customHeight="1" x14ac:dyDescent="0.25">
      <c r="A1" s="47" t="s">
        <v>55</v>
      </c>
      <c r="B1" s="47" t="s">
        <v>30</v>
      </c>
      <c r="C1" s="47" t="s">
        <v>31</v>
      </c>
      <c r="D1" s="47" t="s">
        <v>251</v>
      </c>
      <c r="E1" s="47" t="s">
        <v>252</v>
      </c>
      <c r="F1" s="47" t="s">
        <v>253</v>
      </c>
      <c r="G1" s="47" t="s">
        <v>272</v>
      </c>
    </row>
    <row r="2" spans="1:7" x14ac:dyDescent="0.25">
      <c r="A2" s="11" t="s">
        <v>13</v>
      </c>
      <c r="B2" s="5">
        <v>2017</v>
      </c>
      <c r="C2" s="5" t="s">
        <v>273</v>
      </c>
      <c r="D2" s="5">
        <v>905</v>
      </c>
      <c r="E2" s="5">
        <v>905</v>
      </c>
      <c r="F2" s="5">
        <v>245</v>
      </c>
      <c r="G2" s="7">
        <f t="shared" ref="G2:G33" si="0">IF(D2&gt;0,E2/D2,"")</f>
        <v>1</v>
      </c>
    </row>
    <row r="3" spans="1:7" x14ac:dyDescent="0.25">
      <c r="A3" s="11" t="s">
        <v>13</v>
      </c>
      <c r="B3" s="5">
        <v>2026</v>
      </c>
      <c r="C3" s="5" t="s">
        <v>274</v>
      </c>
      <c r="D3" s="5">
        <v>646</v>
      </c>
      <c r="E3" s="5">
        <v>646</v>
      </c>
      <c r="F3" s="5">
        <v>124</v>
      </c>
      <c r="G3" s="7">
        <f t="shared" si="0"/>
        <v>1</v>
      </c>
    </row>
    <row r="4" spans="1:7" x14ac:dyDescent="0.25">
      <c r="A4" s="12" t="s">
        <v>221</v>
      </c>
      <c r="B4" s="5">
        <v>2026</v>
      </c>
      <c r="C4" s="5" t="s">
        <v>274</v>
      </c>
      <c r="D4" s="5">
        <v>413</v>
      </c>
      <c r="E4" s="5">
        <v>413</v>
      </c>
      <c r="F4" s="5">
        <v>10</v>
      </c>
      <c r="G4" s="7">
        <f t="shared" si="0"/>
        <v>1</v>
      </c>
    </row>
    <row r="5" spans="1:7" x14ac:dyDescent="0.25">
      <c r="A5" s="14" t="s">
        <v>254</v>
      </c>
      <c r="B5" s="5">
        <v>2024</v>
      </c>
      <c r="C5" s="5" t="s">
        <v>273</v>
      </c>
      <c r="D5" s="5">
        <v>2056</v>
      </c>
      <c r="E5" s="5">
        <v>2056</v>
      </c>
      <c r="F5" s="5">
        <v>87</v>
      </c>
      <c r="G5" s="7">
        <f t="shared" si="0"/>
        <v>1</v>
      </c>
    </row>
    <row r="6" spans="1:7" x14ac:dyDescent="0.25">
      <c r="A6" s="14" t="s">
        <v>254</v>
      </c>
      <c r="B6" s="5">
        <v>2026</v>
      </c>
      <c r="C6" s="5" t="s">
        <v>274</v>
      </c>
      <c r="D6" s="5">
        <v>699</v>
      </c>
      <c r="E6" s="5">
        <v>699</v>
      </c>
      <c r="F6" s="5">
        <v>48</v>
      </c>
      <c r="G6" s="7">
        <f t="shared" si="0"/>
        <v>1</v>
      </c>
    </row>
    <row r="7" spans="1:7" x14ac:dyDescent="0.25">
      <c r="A7" s="16" t="s">
        <v>255</v>
      </c>
      <c r="B7" s="5">
        <v>2021</v>
      </c>
      <c r="C7" s="5" t="s">
        <v>273</v>
      </c>
      <c r="D7" s="5">
        <v>206</v>
      </c>
      <c r="E7" s="5">
        <v>206</v>
      </c>
      <c r="F7" s="5">
        <v>5</v>
      </c>
      <c r="G7" s="7">
        <f t="shared" si="0"/>
        <v>1</v>
      </c>
    </row>
    <row r="8" spans="1:7" x14ac:dyDescent="0.25">
      <c r="A8" s="12" t="s">
        <v>221</v>
      </c>
      <c r="B8" s="5">
        <v>2023</v>
      </c>
      <c r="C8" s="5" t="s">
        <v>273</v>
      </c>
      <c r="D8" s="5">
        <v>2030</v>
      </c>
      <c r="E8" s="5">
        <v>2029</v>
      </c>
      <c r="F8" s="5">
        <v>24</v>
      </c>
      <c r="G8" s="7">
        <f t="shared" si="0"/>
        <v>0.99950738916256154</v>
      </c>
    </row>
    <row r="9" spans="1:7" x14ac:dyDescent="0.25">
      <c r="A9" s="13" t="s">
        <v>11</v>
      </c>
      <c r="B9" s="5">
        <v>2026</v>
      </c>
      <c r="C9" s="5" t="s">
        <v>274</v>
      </c>
      <c r="D9" s="5">
        <v>1019</v>
      </c>
      <c r="E9" s="5">
        <v>1018</v>
      </c>
      <c r="F9" s="5">
        <v>12</v>
      </c>
      <c r="G9" s="7">
        <f t="shared" si="0"/>
        <v>0.99901864573110888</v>
      </c>
    </row>
    <row r="10" spans="1:7" x14ac:dyDescent="0.25">
      <c r="A10" s="14" t="s">
        <v>254</v>
      </c>
      <c r="B10" s="5">
        <v>2025</v>
      </c>
      <c r="C10" s="5" t="s">
        <v>273</v>
      </c>
      <c r="D10" s="5">
        <v>2866</v>
      </c>
      <c r="E10" s="5">
        <v>2863</v>
      </c>
      <c r="F10" s="5">
        <v>267</v>
      </c>
      <c r="G10" s="7">
        <f t="shared" si="0"/>
        <v>0.99895324494068383</v>
      </c>
    </row>
    <row r="11" spans="1:7" x14ac:dyDescent="0.25">
      <c r="A11" s="12" t="s">
        <v>221</v>
      </c>
      <c r="B11" s="5">
        <v>2025</v>
      </c>
      <c r="C11" s="5" t="s">
        <v>273</v>
      </c>
      <c r="D11" s="5">
        <v>2424</v>
      </c>
      <c r="E11" s="5">
        <v>2421</v>
      </c>
      <c r="F11" s="5">
        <v>63</v>
      </c>
      <c r="G11" s="7">
        <f t="shared" si="0"/>
        <v>0.99876237623762376</v>
      </c>
    </row>
    <row r="12" spans="1:7" x14ac:dyDescent="0.25">
      <c r="A12" s="14" t="s">
        <v>254</v>
      </c>
      <c r="B12" s="5">
        <v>2022</v>
      </c>
      <c r="C12" s="5" t="s">
        <v>273</v>
      </c>
      <c r="D12" s="5">
        <v>1443</v>
      </c>
      <c r="E12" s="5">
        <v>1441</v>
      </c>
      <c r="F12" s="5">
        <v>78</v>
      </c>
      <c r="G12" s="7">
        <f t="shared" si="0"/>
        <v>0.99861399861399858</v>
      </c>
    </row>
    <row r="13" spans="1:7" x14ac:dyDescent="0.25">
      <c r="A13" s="11" t="s">
        <v>13</v>
      </c>
      <c r="B13" s="5">
        <v>2021</v>
      </c>
      <c r="C13" s="5" t="s">
        <v>273</v>
      </c>
      <c r="D13" s="5">
        <v>1347</v>
      </c>
      <c r="E13" s="5">
        <v>1344</v>
      </c>
      <c r="F13" s="5">
        <v>218</v>
      </c>
      <c r="G13" s="7">
        <f t="shared" si="0"/>
        <v>0.99777282850779514</v>
      </c>
    </row>
    <row r="14" spans="1:7" x14ac:dyDescent="0.25">
      <c r="A14" s="13" t="s">
        <v>11</v>
      </c>
      <c r="B14" s="5">
        <v>2024</v>
      </c>
      <c r="C14" s="5" t="s">
        <v>273</v>
      </c>
      <c r="D14" s="5">
        <v>5763</v>
      </c>
      <c r="E14" s="5">
        <v>5750</v>
      </c>
      <c r="F14" s="5">
        <v>59</v>
      </c>
      <c r="G14" s="7">
        <f t="shared" si="0"/>
        <v>0.99774423043553706</v>
      </c>
    </row>
    <row r="15" spans="1:7" x14ac:dyDescent="0.25">
      <c r="A15" s="11" t="s">
        <v>13</v>
      </c>
      <c r="B15" s="5">
        <v>2022</v>
      </c>
      <c r="C15" s="5" t="s">
        <v>273</v>
      </c>
      <c r="D15" s="5">
        <v>1640</v>
      </c>
      <c r="E15" s="5">
        <v>1636</v>
      </c>
      <c r="F15" s="5">
        <v>230</v>
      </c>
      <c r="G15" s="7">
        <f t="shared" si="0"/>
        <v>0.9975609756097561</v>
      </c>
    </row>
    <row r="16" spans="1:7" x14ac:dyDescent="0.25">
      <c r="A16" s="14" t="s">
        <v>254</v>
      </c>
      <c r="B16" s="5">
        <v>2018</v>
      </c>
      <c r="C16" s="5" t="s">
        <v>273</v>
      </c>
      <c r="D16" s="5">
        <v>727</v>
      </c>
      <c r="E16" s="5">
        <v>725</v>
      </c>
      <c r="F16" s="5">
        <v>20</v>
      </c>
      <c r="G16" s="7">
        <f t="shared" si="0"/>
        <v>0.99724896836313615</v>
      </c>
    </row>
    <row r="17" spans="1:7" x14ac:dyDescent="0.25">
      <c r="A17" s="12" t="s">
        <v>221</v>
      </c>
      <c r="B17" s="5">
        <v>2024</v>
      </c>
      <c r="C17" s="5" t="s">
        <v>273</v>
      </c>
      <c r="D17" s="5">
        <v>2505</v>
      </c>
      <c r="E17" s="5">
        <v>2497</v>
      </c>
      <c r="F17" s="5">
        <v>162</v>
      </c>
      <c r="G17" s="7">
        <f t="shared" si="0"/>
        <v>0.99680638722554893</v>
      </c>
    </row>
    <row r="18" spans="1:7" x14ac:dyDescent="0.25">
      <c r="A18" s="11" t="s">
        <v>13</v>
      </c>
      <c r="B18" s="5">
        <v>2018</v>
      </c>
      <c r="C18" s="5" t="s">
        <v>273</v>
      </c>
      <c r="D18" s="5">
        <v>1225</v>
      </c>
      <c r="E18" s="5">
        <v>1221</v>
      </c>
      <c r="F18" s="5">
        <v>453</v>
      </c>
      <c r="G18" s="7">
        <f t="shared" si="0"/>
        <v>0.99673469387755098</v>
      </c>
    </row>
    <row r="19" spans="1:7" x14ac:dyDescent="0.25">
      <c r="A19" s="12" t="s">
        <v>221</v>
      </c>
      <c r="B19" s="5">
        <v>2022</v>
      </c>
      <c r="C19" s="5" t="s">
        <v>273</v>
      </c>
      <c r="D19" s="5">
        <v>1988</v>
      </c>
      <c r="E19" s="5">
        <v>1981</v>
      </c>
      <c r="F19" s="5">
        <v>19</v>
      </c>
      <c r="G19" s="7">
        <f t="shared" si="0"/>
        <v>0.99647887323943662</v>
      </c>
    </row>
    <row r="20" spans="1:7" x14ac:dyDescent="0.25">
      <c r="A20" s="10" t="s">
        <v>10</v>
      </c>
      <c r="B20" s="5">
        <v>2024</v>
      </c>
      <c r="C20" s="5" t="s">
        <v>273</v>
      </c>
      <c r="D20" s="5">
        <v>3386</v>
      </c>
      <c r="E20" s="5">
        <v>3374</v>
      </c>
      <c r="F20" s="5">
        <v>45</v>
      </c>
      <c r="G20" s="7">
        <f t="shared" si="0"/>
        <v>0.99645599527466033</v>
      </c>
    </row>
    <row r="21" spans="1:7" x14ac:dyDescent="0.25">
      <c r="A21" s="14" t="s">
        <v>254</v>
      </c>
      <c r="B21" s="5">
        <v>2023</v>
      </c>
      <c r="C21" s="5" t="s">
        <v>273</v>
      </c>
      <c r="D21" s="5">
        <v>1616</v>
      </c>
      <c r="E21" s="5">
        <v>1610</v>
      </c>
      <c r="F21" s="5">
        <v>139</v>
      </c>
      <c r="G21" s="7">
        <f t="shared" si="0"/>
        <v>0.99628712871287128</v>
      </c>
    </row>
    <row r="22" spans="1:7" x14ac:dyDescent="0.25">
      <c r="A22" s="13" t="s">
        <v>11</v>
      </c>
      <c r="B22" s="5">
        <v>2025</v>
      </c>
      <c r="C22" s="5" t="s">
        <v>273</v>
      </c>
      <c r="D22" s="5">
        <v>6702</v>
      </c>
      <c r="E22" s="5">
        <v>6677</v>
      </c>
      <c r="F22" s="5">
        <v>263</v>
      </c>
      <c r="G22" s="7">
        <f t="shared" si="0"/>
        <v>0.99626977021784546</v>
      </c>
    </row>
    <row r="23" spans="1:7" x14ac:dyDescent="0.25">
      <c r="A23" s="11" t="s">
        <v>13</v>
      </c>
      <c r="B23" s="5">
        <v>2023</v>
      </c>
      <c r="C23" s="5" t="s">
        <v>273</v>
      </c>
      <c r="D23" s="5">
        <v>1813</v>
      </c>
      <c r="E23" s="5">
        <v>1806</v>
      </c>
      <c r="F23" s="5">
        <v>306</v>
      </c>
      <c r="G23" s="7">
        <f t="shared" si="0"/>
        <v>0.99613899613899615</v>
      </c>
    </row>
    <row r="24" spans="1:7" x14ac:dyDescent="0.25">
      <c r="A24" s="11" t="s">
        <v>13</v>
      </c>
      <c r="B24" s="5">
        <v>2024</v>
      </c>
      <c r="C24" s="5" t="s">
        <v>273</v>
      </c>
      <c r="D24" s="5">
        <v>2228</v>
      </c>
      <c r="E24" s="5">
        <v>2219</v>
      </c>
      <c r="F24" s="5">
        <v>309</v>
      </c>
      <c r="G24" s="7">
        <f t="shared" si="0"/>
        <v>0.99596050269299818</v>
      </c>
    </row>
    <row r="25" spans="1:7" x14ac:dyDescent="0.25">
      <c r="A25" s="14" t="s">
        <v>254</v>
      </c>
      <c r="B25" s="5">
        <v>2017</v>
      </c>
      <c r="C25" s="5" t="s">
        <v>273</v>
      </c>
      <c r="D25" s="5">
        <v>455</v>
      </c>
      <c r="E25" s="5">
        <v>453</v>
      </c>
      <c r="F25" s="5">
        <v>101</v>
      </c>
      <c r="G25" s="7">
        <f t="shared" si="0"/>
        <v>0.99560439560439562</v>
      </c>
    </row>
    <row r="26" spans="1:7" x14ac:dyDescent="0.25">
      <c r="A26" s="11" t="s">
        <v>13</v>
      </c>
      <c r="B26" s="5">
        <v>2019</v>
      </c>
      <c r="C26" s="5" t="s">
        <v>273</v>
      </c>
      <c r="D26" s="5">
        <v>1535</v>
      </c>
      <c r="E26" s="5">
        <v>1528</v>
      </c>
      <c r="F26" s="5">
        <v>352</v>
      </c>
      <c r="G26" s="7">
        <f t="shared" si="0"/>
        <v>0.9954397394136808</v>
      </c>
    </row>
    <row r="27" spans="1:7" x14ac:dyDescent="0.25">
      <c r="A27" s="4" t="s">
        <v>9</v>
      </c>
      <c r="B27" s="5">
        <v>2026</v>
      </c>
      <c r="C27" s="5" t="s">
        <v>274</v>
      </c>
      <c r="D27" s="5">
        <v>8945</v>
      </c>
      <c r="E27" s="5">
        <v>8904</v>
      </c>
      <c r="F27" s="5">
        <v>8</v>
      </c>
      <c r="G27" s="7">
        <f t="shared" si="0"/>
        <v>0.99541643376187816</v>
      </c>
    </row>
    <row r="28" spans="1:7" x14ac:dyDescent="0.25">
      <c r="A28" s="14" t="s">
        <v>254</v>
      </c>
      <c r="B28" s="5">
        <v>2021</v>
      </c>
      <c r="C28" s="5" t="s">
        <v>273</v>
      </c>
      <c r="D28" s="5">
        <v>1246</v>
      </c>
      <c r="E28" s="5">
        <v>1238</v>
      </c>
      <c r="F28" s="5">
        <v>86</v>
      </c>
      <c r="G28" s="7">
        <f t="shared" si="0"/>
        <v>0.9935794542536116</v>
      </c>
    </row>
    <row r="29" spans="1:7" x14ac:dyDescent="0.25">
      <c r="A29" s="4" t="s">
        <v>9</v>
      </c>
      <c r="B29" s="5">
        <v>2022</v>
      </c>
      <c r="C29" s="5" t="s">
        <v>273</v>
      </c>
      <c r="D29" s="5">
        <v>30497</v>
      </c>
      <c r="E29" s="5">
        <v>30280</v>
      </c>
      <c r="F29" s="5">
        <v>25</v>
      </c>
      <c r="G29" s="7">
        <f t="shared" si="0"/>
        <v>0.99288454602092013</v>
      </c>
    </row>
    <row r="30" spans="1:7" x14ac:dyDescent="0.25">
      <c r="A30" s="11" t="s">
        <v>13</v>
      </c>
      <c r="B30" s="5">
        <v>2025</v>
      </c>
      <c r="C30" s="5" t="s">
        <v>273</v>
      </c>
      <c r="D30" s="5">
        <v>2904</v>
      </c>
      <c r="E30" s="5">
        <v>2883</v>
      </c>
      <c r="F30" s="5">
        <v>491</v>
      </c>
      <c r="G30" s="7">
        <f t="shared" si="0"/>
        <v>0.99276859504132231</v>
      </c>
    </row>
    <row r="31" spans="1:7" x14ac:dyDescent="0.25">
      <c r="A31" s="13" t="s">
        <v>11</v>
      </c>
      <c r="B31" s="5">
        <v>2021</v>
      </c>
      <c r="C31" s="5" t="s">
        <v>273</v>
      </c>
      <c r="D31" s="5">
        <v>2522</v>
      </c>
      <c r="E31" s="5">
        <v>2502</v>
      </c>
      <c r="F31" s="5">
        <v>108</v>
      </c>
      <c r="G31" s="7">
        <f t="shared" si="0"/>
        <v>0.9920697858842189</v>
      </c>
    </row>
    <row r="32" spans="1:7" x14ac:dyDescent="0.25">
      <c r="A32" s="12" t="s">
        <v>221</v>
      </c>
      <c r="B32" s="5">
        <v>2021</v>
      </c>
      <c r="C32" s="5" t="s">
        <v>273</v>
      </c>
      <c r="D32" s="5">
        <v>1774</v>
      </c>
      <c r="E32" s="5">
        <v>1758</v>
      </c>
      <c r="F32" s="5">
        <v>179</v>
      </c>
      <c r="G32" s="7">
        <f t="shared" si="0"/>
        <v>0.99098083427282979</v>
      </c>
    </row>
    <row r="33" spans="1:7" x14ac:dyDescent="0.25">
      <c r="A33" s="16" t="s">
        <v>255</v>
      </c>
      <c r="B33" s="5">
        <v>2023</v>
      </c>
      <c r="C33" s="5" t="s">
        <v>273</v>
      </c>
      <c r="D33" s="5">
        <v>330</v>
      </c>
      <c r="E33" s="5">
        <v>327</v>
      </c>
      <c r="F33" s="5">
        <v>70</v>
      </c>
      <c r="G33" s="7">
        <f t="shared" si="0"/>
        <v>0.99090909090909096</v>
      </c>
    </row>
    <row r="34" spans="1:7" x14ac:dyDescent="0.25">
      <c r="A34" s="10" t="s">
        <v>10</v>
      </c>
      <c r="B34" s="5">
        <v>2023</v>
      </c>
      <c r="C34" s="5" t="s">
        <v>273</v>
      </c>
      <c r="D34" s="5">
        <v>3610</v>
      </c>
      <c r="E34" s="5">
        <v>3575</v>
      </c>
      <c r="F34" s="5">
        <v>149</v>
      </c>
      <c r="G34" s="7">
        <f t="shared" ref="G34:G65" si="1">IF(D34&gt;0,E34/D34,"")</f>
        <v>0.99030470914127422</v>
      </c>
    </row>
    <row r="35" spans="1:7" x14ac:dyDescent="0.25">
      <c r="A35" s="13" t="s">
        <v>11</v>
      </c>
      <c r="B35" s="5">
        <v>2023</v>
      </c>
      <c r="C35" s="5" t="s">
        <v>273</v>
      </c>
      <c r="D35" s="5">
        <v>4073</v>
      </c>
      <c r="E35" s="5">
        <v>4033</v>
      </c>
      <c r="F35" s="5">
        <v>53</v>
      </c>
      <c r="G35" s="7">
        <f t="shared" si="1"/>
        <v>0.99017922906948197</v>
      </c>
    </row>
    <row r="36" spans="1:7" x14ac:dyDescent="0.25">
      <c r="A36" s="15" t="s">
        <v>210</v>
      </c>
      <c r="B36" s="5">
        <v>2022</v>
      </c>
      <c r="C36" s="5" t="s">
        <v>273</v>
      </c>
      <c r="D36" s="5">
        <v>1204</v>
      </c>
      <c r="E36" s="5">
        <v>1191</v>
      </c>
      <c r="F36" s="5">
        <v>139</v>
      </c>
      <c r="G36" s="7">
        <f t="shared" si="1"/>
        <v>0.98920265780730898</v>
      </c>
    </row>
    <row r="37" spans="1:7" x14ac:dyDescent="0.25">
      <c r="A37" s="16" t="s">
        <v>255</v>
      </c>
      <c r="B37" s="5">
        <v>2018</v>
      </c>
      <c r="C37" s="5" t="s">
        <v>273</v>
      </c>
      <c r="D37" s="5">
        <v>365</v>
      </c>
      <c r="E37" s="5">
        <v>361</v>
      </c>
      <c r="F37" s="5">
        <v>71</v>
      </c>
      <c r="G37" s="7">
        <f t="shared" si="1"/>
        <v>0.989041095890411</v>
      </c>
    </row>
    <row r="38" spans="1:7" x14ac:dyDescent="0.25">
      <c r="A38" s="4" t="s">
        <v>9</v>
      </c>
      <c r="B38" s="5">
        <v>2018</v>
      </c>
      <c r="C38" s="5" t="s">
        <v>273</v>
      </c>
      <c r="D38" s="5">
        <v>19221</v>
      </c>
      <c r="E38" s="5">
        <v>18989</v>
      </c>
      <c r="F38" s="5">
        <v>2517</v>
      </c>
      <c r="G38" s="7">
        <f t="shared" si="1"/>
        <v>0.98792986837313357</v>
      </c>
    </row>
    <row r="39" spans="1:7" x14ac:dyDescent="0.25">
      <c r="A39" s="15" t="s">
        <v>210</v>
      </c>
      <c r="B39" s="5">
        <v>2026</v>
      </c>
      <c r="C39" s="5" t="s">
        <v>274</v>
      </c>
      <c r="D39" s="5">
        <v>319</v>
      </c>
      <c r="E39" s="5">
        <v>315</v>
      </c>
      <c r="F39" s="5">
        <v>51</v>
      </c>
      <c r="G39" s="7">
        <f t="shared" si="1"/>
        <v>0.98746081504702199</v>
      </c>
    </row>
    <row r="40" spans="1:7" x14ac:dyDescent="0.25">
      <c r="A40" s="4" t="s">
        <v>9</v>
      </c>
      <c r="B40" s="5">
        <v>2024</v>
      </c>
      <c r="C40" s="5" t="s">
        <v>273</v>
      </c>
      <c r="D40" s="5">
        <v>33940</v>
      </c>
      <c r="E40" s="5">
        <v>33513</v>
      </c>
      <c r="F40" s="5">
        <v>31</v>
      </c>
      <c r="G40" s="7">
        <f t="shared" si="1"/>
        <v>0.98741897466116679</v>
      </c>
    </row>
    <row r="41" spans="1:7" x14ac:dyDescent="0.25">
      <c r="A41" s="4" t="s">
        <v>9</v>
      </c>
      <c r="B41" s="5">
        <v>2025</v>
      </c>
      <c r="C41" s="5" t="s">
        <v>273</v>
      </c>
      <c r="D41" s="5">
        <v>40546</v>
      </c>
      <c r="E41" s="5">
        <v>40027</v>
      </c>
      <c r="F41" s="5">
        <v>43</v>
      </c>
      <c r="G41" s="7">
        <f t="shared" si="1"/>
        <v>0.98719972377053222</v>
      </c>
    </row>
    <row r="42" spans="1:7" x14ac:dyDescent="0.25">
      <c r="A42" s="16" t="s">
        <v>255</v>
      </c>
      <c r="B42" s="5">
        <v>2024</v>
      </c>
      <c r="C42" s="5" t="s">
        <v>273</v>
      </c>
      <c r="D42" s="5">
        <v>460</v>
      </c>
      <c r="E42" s="5">
        <v>454</v>
      </c>
      <c r="F42" s="5">
        <v>79</v>
      </c>
      <c r="G42" s="7">
        <f t="shared" si="1"/>
        <v>0.9869565217391304</v>
      </c>
    </row>
    <row r="43" spans="1:7" x14ac:dyDescent="0.25">
      <c r="A43" s="4" t="s">
        <v>9</v>
      </c>
      <c r="B43" s="5">
        <v>2023</v>
      </c>
      <c r="C43" s="5" t="s">
        <v>273</v>
      </c>
      <c r="D43" s="5">
        <v>34272</v>
      </c>
      <c r="E43" s="5">
        <v>33822</v>
      </c>
      <c r="F43" s="5">
        <v>28</v>
      </c>
      <c r="G43" s="7">
        <f t="shared" si="1"/>
        <v>0.98686974789915971</v>
      </c>
    </row>
    <row r="44" spans="1:7" x14ac:dyDescent="0.25">
      <c r="A44" s="15" t="s">
        <v>210</v>
      </c>
      <c r="B44" s="5">
        <v>2023</v>
      </c>
      <c r="C44" s="5" t="s">
        <v>273</v>
      </c>
      <c r="D44" s="5">
        <v>1675</v>
      </c>
      <c r="E44" s="5">
        <v>1651</v>
      </c>
      <c r="F44" s="5">
        <v>256</v>
      </c>
      <c r="G44" s="7">
        <f t="shared" si="1"/>
        <v>0.98567164179104483</v>
      </c>
    </row>
    <row r="45" spans="1:7" x14ac:dyDescent="0.25">
      <c r="A45" s="13" t="s">
        <v>11</v>
      </c>
      <c r="B45" s="5">
        <v>2022</v>
      </c>
      <c r="C45" s="5" t="s">
        <v>273</v>
      </c>
      <c r="D45" s="5">
        <v>3220</v>
      </c>
      <c r="E45" s="5">
        <v>3171</v>
      </c>
      <c r="F45" s="5">
        <v>173</v>
      </c>
      <c r="G45" s="7">
        <f t="shared" si="1"/>
        <v>0.98478260869565215</v>
      </c>
    </row>
    <row r="46" spans="1:7" x14ac:dyDescent="0.25">
      <c r="A46" s="10" t="s">
        <v>10</v>
      </c>
      <c r="B46" s="5">
        <v>2021</v>
      </c>
      <c r="C46" s="5" t="s">
        <v>273</v>
      </c>
      <c r="D46" s="5">
        <v>2905</v>
      </c>
      <c r="E46" s="5">
        <v>2858</v>
      </c>
      <c r="F46" s="5">
        <v>89</v>
      </c>
      <c r="G46" s="7">
        <f t="shared" si="1"/>
        <v>0.98382099827882963</v>
      </c>
    </row>
    <row r="47" spans="1:7" x14ac:dyDescent="0.25">
      <c r="A47" s="4" t="s">
        <v>9</v>
      </c>
      <c r="B47" s="5">
        <v>2021</v>
      </c>
      <c r="C47" s="5" t="s">
        <v>273</v>
      </c>
      <c r="D47" s="5">
        <v>26914</v>
      </c>
      <c r="E47" s="5">
        <v>26464</v>
      </c>
      <c r="F47" s="5">
        <v>84</v>
      </c>
      <c r="G47" s="7">
        <f t="shared" si="1"/>
        <v>0.98328007728319833</v>
      </c>
    </row>
    <row r="48" spans="1:7" x14ac:dyDescent="0.25">
      <c r="A48" s="10" t="s">
        <v>10</v>
      </c>
      <c r="B48" s="5">
        <v>2022</v>
      </c>
      <c r="C48" s="5" t="s">
        <v>273</v>
      </c>
      <c r="D48" s="5">
        <v>3590</v>
      </c>
      <c r="E48" s="5">
        <v>3526</v>
      </c>
      <c r="F48" s="5">
        <v>84</v>
      </c>
      <c r="G48" s="7">
        <f t="shared" si="1"/>
        <v>0.98217270194986073</v>
      </c>
    </row>
    <row r="49" spans="1:7" x14ac:dyDescent="0.25">
      <c r="A49" s="13" t="s">
        <v>11</v>
      </c>
      <c r="B49" s="5">
        <v>2020</v>
      </c>
      <c r="C49" s="5" t="s">
        <v>273</v>
      </c>
      <c r="D49" s="5">
        <v>565</v>
      </c>
      <c r="E49" s="5">
        <v>554</v>
      </c>
      <c r="F49" s="5">
        <v>39</v>
      </c>
      <c r="G49" s="7">
        <f t="shared" si="1"/>
        <v>0.98053097345132745</v>
      </c>
    </row>
    <row r="50" spans="1:7" x14ac:dyDescent="0.25">
      <c r="A50" s="14" t="s">
        <v>254</v>
      </c>
      <c r="B50" s="5">
        <v>2019</v>
      </c>
      <c r="C50" s="5" t="s">
        <v>273</v>
      </c>
      <c r="D50" s="5">
        <v>1204</v>
      </c>
      <c r="E50" s="5">
        <v>1180</v>
      </c>
      <c r="F50" s="5">
        <v>3</v>
      </c>
      <c r="G50" s="7">
        <f t="shared" si="1"/>
        <v>0.98006644518272423</v>
      </c>
    </row>
    <row r="51" spans="1:7" x14ac:dyDescent="0.25">
      <c r="A51" s="10" t="s">
        <v>10</v>
      </c>
      <c r="B51" s="5">
        <v>2017</v>
      </c>
      <c r="C51" s="5" t="s">
        <v>273</v>
      </c>
      <c r="D51" s="5">
        <v>2802</v>
      </c>
      <c r="E51" s="5">
        <v>2742</v>
      </c>
      <c r="F51" s="5">
        <v>370</v>
      </c>
      <c r="G51" s="7">
        <f t="shared" si="1"/>
        <v>0.97858672376873657</v>
      </c>
    </row>
    <row r="52" spans="1:7" x14ac:dyDescent="0.25">
      <c r="A52" s="15" t="s">
        <v>210</v>
      </c>
      <c r="B52" s="5">
        <v>2018</v>
      </c>
      <c r="C52" s="5" t="s">
        <v>273</v>
      </c>
      <c r="D52" s="5">
        <v>861</v>
      </c>
      <c r="E52" s="5">
        <v>841</v>
      </c>
      <c r="F52" s="5">
        <v>14</v>
      </c>
      <c r="G52" s="7">
        <f t="shared" si="1"/>
        <v>0.97677119628339137</v>
      </c>
    </row>
    <row r="53" spans="1:7" x14ac:dyDescent="0.25">
      <c r="A53" s="15" t="s">
        <v>210</v>
      </c>
      <c r="B53" s="5">
        <v>2024</v>
      </c>
      <c r="C53" s="5" t="s">
        <v>273</v>
      </c>
      <c r="D53" s="5">
        <v>2000</v>
      </c>
      <c r="E53" s="5">
        <v>1953</v>
      </c>
      <c r="F53" s="5">
        <v>331</v>
      </c>
      <c r="G53" s="7">
        <f t="shared" si="1"/>
        <v>0.97650000000000003</v>
      </c>
    </row>
    <row r="54" spans="1:7" x14ac:dyDescent="0.25">
      <c r="A54" s="10" t="s">
        <v>10</v>
      </c>
      <c r="B54" s="5">
        <v>2018</v>
      </c>
      <c r="C54" s="5" t="s">
        <v>273</v>
      </c>
      <c r="D54" s="5">
        <v>1831</v>
      </c>
      <c r="E54" s="5">
        <v>1787</v>
      </c>
      <c r="F54" s="5">
        <v>114</v>
      </c>
      <c r="G54" s="7">
        <f t="shared" si="1"/>
        <v>0.97596941561987982</v>
      </c>
    </row>
    <row r="55" spans="1:7" x14ac:dyDescent="0.25">
      <c r="A55" s="10" t="s">
        <v>10</v>
      </c>
      <c r="B55" s="5">
        <v>2025</v>
      </c>
      <c r="C55" s="5" t="s">
        <v>273</v>
      </c>
      <c r="D55" s="5">
        <v>2895</v>
      </c>
      <c r="E55" s="5">
        <v>2824</v>
      </c>
      <c r="F55" s="5">
        <v>45</v>
      </c>
      <c r="G55" s="7">
        <f t="shared" si="1"/>
        <v>0.97547495682210705</v>
      </c>
    </row>
    <row r="56" spans="1:7" x14ac:dyDescent="0.25">
      <c r="A56" s="15" t="s">
        <v>210</v>
      </c>
      <c r="B56" s="5">
        <v>2021</v>
      </c>
      <c r="C56" s="5" t="s">
        <v>273</v>
      </c>
      <c r="D56" s="5">
        <v>924</v>
      </c>
      <c r="E56" s="5">
        <v>901</v>
      </c>
      <c r="F56" s="5">
        <v>64</v>
      </c>
      <c r="G56" s="7">
        <f t="shared" si="1"/>
        <v>0.97510822510822515</v>
      </c>
    </row>
    <row r="57" spans="1:7" x14ac:dyDescent="0.25">
      <c r="A57" s="16" t="s">
        <v>255</v>
      </c>
      <c r="B57" s="5">
        <v>2022</v>
      </c>
      <c r="C57" s="5" t="s">
        <v>273</v>
      </c>
      <c r="D57" s="5">
        <v>269</v>
      </c>
      <c r="E57" s="5">
        <v>262</v>
      </c>
      <c r="F57" s="5">
        <v>4</v>
      </c>
      <c r="G57" s="7">
        <f t="shared" si="1"/>
        <v>0.97397769516728627</v>
      </c>
    </row>
    <row r="58" spans="1:7" x14ac:dyDescent="0.25">
      <c r="A58" s="16" t="s">
        <v>255</v>
      </c>
      <c r="B58" s="5">
        <v>2025</v>
      </c>
      <c r="C58" s="5" t="s">
        <v>273</v>
      </c>
      <c r="D58" s="5">
        <v>536</v>
      </c>
      <c r="E58" s="5">
        <v>522</v>
      </c>
      <c r="F58" s="5">
        <v>115</v>
      </c>
      <c r="G58" s="7">
        <f t="shared" si="1"/>
        <v>0.97388059701492535</v>
      </c>
    </row>
    <row r="59" spans="1:7" x14ac:dyDescent="0.25">
      <c r="A59" s="4" t="s">
        <v>9</v>
      </c>
      <c r="B59" s="5">
        <v>2019</v>
      </c>
      <c r="C59" s="5" t="s">
        <v>273</v>
      </c>
      <c r="D59" s="5">
        <v>24303</v>
      </c>
      <c r="E59" s="5">
        <v>23560</v>
      </c>
      <c r="F59" s="5">
        <v>80</v>
      </c>
      <c r="G59" s="7">
        <f t="shared" si="1"/>
        <v>0.96942764267785875</v>
      </c>
    </row>
    <row r="60" spans="1:7" x14ac:dyDescent="0.25">
      <c r="A60" s="10" t="s">
        <v>10</v>
      </c>
      <c r="B60" s="5">
        <v>2026</v>
      </c>
      <c r="C60" s="5" t="s">
        <v>274</v>
      </c>
      <c r="D60" s="5">
        <v>506</v>
      </c>
      <c r="E60" s="5">
        <v>489</v>
      </c>
      <c r="F60" s="5">
        <v>9</v>
      </c>
      <c r="G60" s="7">
        <f t="shared" si="1"/>
        <v>0.96640316205533594</v>
      </c>
    </row>
    <row r="61" spans="1:7" x14ac:dyDescent="0.25">
      <c r="A61" s="15" t="s">
        <v>210</v>
      </c>
      <c r="B61" s="5">
        <v>2025</v>
      </c>
      <c r="C61" s="5" t="s">
        <v>273</v>
      </c>
      <c r="D61" s="5">
        <v>1954</v>
      </c>
      <c r="E61" s="5">
        <v>1884</v>
      </c>
      <c r="F61" s="5">
        <v>283</v>
      </c>
      <c r="G61" s="7">
        <f t="shared" si="1"/>
        <v>0.96417604912998978</v>
      </c>
    </row>
    <row r="62" spans="1:7" x14ac:dyDescent="0.25">
      <c r="A62" s="10" t="s">
        <v>10</v>
      </c>
      <c r="B62" s="5">
        <v>2019</v>
      </c>
      <c r="C62" s="5" t="s">
        <v>273</v>
      </c>
      <c r="D62" s="5">
        <v>2531</v>
      </c>
      <c r="E62" s="5">
        <v>2434</v>
      </c>
      <c r="F62" s="5">
        <v>5</v>
      </c>
      <c r="G62" s="7">
        <f t="shared" si="1"/>
        <v>0.96167522718293164</v>
      </c>
    </row>
    <row r="63" spans="1:7" x14ac:dyDescent="0.25">
      <c r="A63" s="15" t="s">
        <v>210</v>
      </c>
      <c r="B63" s="5">
        <v>2017</v>
      </c>
      <c r="C63" s="5" t="s">
        <v>273</v>
      </c>
      <c r="D63" s="5">
        <v>877</v>
      </c>
      <c r="E63" s="5">
        <v>835</v>
      </c>
      <c r="F63" s="5">
        <v>243</v>
      </c>
      <c r="G63" s="7">
        <f t="shared" si="1"/>
        <v>0.95210946408209807</v>
      </c>
    </row>
    <row r="64" spans="1:7" x14ac:dyDescent="0.25">
      <c r="A64" s="16" t="s">
        <v>255</v>
      </c>
      <c r="B64" s="5">
        <v>2019</v>
      </c>
      <c r="C64" s="5" t="s">
        <v>273</v>
      </c>
      <c r="D64" s="5">
        <v>322</v>
      </c>
      <c r="E64" s="5">
        <v>302</v>
      </c>
      <c r="F64" s="5">
        <v>2</v>
      </c>
      <c r="G64" s="7">
        <f t="shared" si="1"/>
        <v>0.93788819875776397</v>
      </c>
    </row>
    <row r="65" spans="1:7" x14ac:dyDescent="0.25">
      <c r="A65" s="11" t="s">
        <v>13</v>
      </c>
      <c r="B65" s="5">
        <v>2020</v>
      </c>
      <c r="C65" s="5" t="s">
        <v>273</v>
      </c>
      <c r="D65" s="5">
        <v>932</v>
      </c>
      <c r="E65" s="5">
        <v>870</v>
      </c>
      <c r="F65" s="5">
        <v>118</v>
      </c>
      <c r="G65" s="7">
        <f t="shared" si="1"/>
        <v>0.9334763948497854</v>
      </c>
    </row>
    <row r="66" spans="1:7" x14ac:dyDescent="0.25">
      <c r="A66" s="15" t="s">
        <v>210</v>
      </c>
      <c r="B66" s="5">
        <v>2019</v>
      </c>
      <c r="C66" s="5" t="s">
        <v>273</v>
      </c>
      <c r="D66" s="5">
        <v>981</v>
      </c>
      <c r="E66" s="5">
        <v>906</v>
      </c>
      <c r="F66" s="5">
        <v>41</v>
      </c>
      <c r="G66" s="7">
        <f t="shared" ref="G66:G74" si="2">IF(D66&gt;0,E66/D66,"")</f>
        <v>0.92354740061162077</v>
      </c>
    </row>
    <row r="67" spans="1:7" x14ac:dyDescent="0.25">
      <c r="A67" s="16" t="s">
        <v>255</v>
      </c>
      <c r="B67" s="5">
        <v>2020</v>
      </c>
      <c r="C67" s="5" t="s">
        <v>273</v>
      </c>
      <c r="D67" s="5">
        <v>91</v>
      </c>
      <c r="E67" s="5">
        <v>83</v>
      </c>
      <c r="F67" s="5">
        <v>13</v>
      </c>
      <c r="G67" s="7">
        <f t="shared" si="2"/>
        <v>0.91208791208791207</v>
      </c>
    </row>
    <row r="68" spans="1:7" x14ac:dyDescent="0.25">
      <c r="A68" s="16" t="s">
        <v>255</v>
      </c>
      <c r="B68" s="5">
        <v>2017</v>
      </c>
      <c r="C68" s="5" t="s">
        <v>273</v>
      </c>
      <c r="D68" s="5">
        <v>491</v>
      </c>
      <c r="E68" s="5">
        <v>444</v>
      </c>
      <c r="F68" s="5">
        <v>181</v>
      </c>
      <c r="G68" s="7">
        <f t="shared" si="2"/>
        <v>0.90427698574338089</v>
      </c>
    </row>
    <row r="69" spans="1:7" x14ac:dyDescent="0.25">
      <c r="A69" s="4" t="s">
        <v>9</v>
      </c>
      <c r="B69" s="5">
        <v>2017</v>
      </c>
      <c r="C69" s="5" t="s">
        <v>273</v>
      </c>
      <c r="D69" s="5">
        <v>16159</v>
      </c>
      <c r="E69" s="5">
        <v>14326</v>
      </c>
      <c r="F69" s="5">
        <v>4470</v>
      </c>
      <c r="G69" s="7">
        <f t="shared" si="2"/>
        <v>0.88656476267095741</v>
      </c>
    </row>
    <row r="70" spans="1:7" x14ac:dyDescent="0.25">
      <c r="A70" s="16" t="s">
        <v>255</v>
      </c>
      <c r="B70" s="5">
        <v>2026</v>
      </c>
      <c r="C70" s="5" t="s">
        <v>274</v>
      </c>
      <c r="D70" s="5">
        <v>129</v>
      </c>
      <c r="E70" s="5">
        <v>112</v>
      </c>
      <c r="F70" s="5">
        <v>17</v>
      </c>
      <c r="G70" s="7">
        <f t="shared" si="2"/>
        <v>0.86821705426356588</v>
      </c>
    </row>
    <row r="71" spans="1:7" x14ac:dyDescent="0.25">
      <c r="A71" s="14" t="s">
        <v>254</v>
      </c>
      <c r="B71" s="5">
        <v>2020</v>
      </c>
      <c r="C71" s="5" t="s">
        <v>273</v>
      </c>
      <c r="D71" s="5">
        <v>696</v>
      </c>
      <c r="E71" s="5">
        <v>572</v>
      </c>
      <c r="F71" s="5">
        <v>19</v>
      </c>
      <c r="G71" s="7">
        <f t="shared" si="2"/>
        <v>0.82183908045977017</v>
      </c>
    </row>
    <row r="72" spans="1:7" x14ac:dyDescent="0.25">
      <c r="A72" s="10" t="s">
        <v>10</v>
      </c>
      <c r="B72" s="5">
        <v>2020</v>
      </c>
      <c r="C72" s="5" t="s">
        <v>273</v>
      </c>
      <c r="D72" s="5">
        <v>1640</v>
      </c>
      <c r="E72" s="5">
        <v>1322</v>
      </c>
      <c r="F72" s="5">
        <v>14</v>
      </c>
      <c r="G72" s="7">
        <f t="shared" si="2"/>
        <v>0.80609756097560981</v>
      </c>
    </row>
    <row r="73" spans="1:7" x14ac:dyDescent="0.25">
      <c r="A73" s="4" t="s">
        <v>9</v>
      </c>
      <c r="B73" s="5">
        <v>2020</v>
      </c>
      <c r="C73" s="5" t="s">
        <v>273</v>
      </c>
      <c r="D73" s="5">
        <v>15554</v>
      </c>
      <c r="E73" s="5">
        <v>11704</v>
      </c>
      <c r="F73" s="5">
        <v>229</v>
      </c>
      <c r="G73" s="7">
        <f t="shared" si="2"/>
        <v>0.75247524752475248</v>
      </c>
    </row>
    <row r="74" spans="1:7" x14ac:dyDescent="0.25">
      <c r="A74" s="15" t="s">
        <v>210</v>
      </c>
      <c r="B74" s="5">
        <v>2020</v>
      </c>
      <c r="C74" s="5" t="s">
        <v>273</v>
      </c>
      <c r="D74" s="5">
        <v>553</v>
      </c>
      <c r="E74" s="5">
        <v>398</v>
      </c>
      <c r="F74" s="5">
        <v>41</v>
      </c>
      <c r="G74" s="7">
        <f t="shared" si="2"/>
        <v>0.71971066907775771</v>
      </c>
    </row>
    <row r="75" spans="1:7" x14ac:dyDescent="0.25">
      <c r="A75" s="12" t="s">
        <v>221</v>
      </c>
      <c r="B75" s="5">
        <v>2017</v>
      </c>
      <c r="C75" s="5" t="s">
        <v>273</v>
      </c>
      <c r="D75" s="5"/>
      <c r="E75" s="5"/>
      <c r="F75" s="5"/>
      <c r="G75" s="52"/>
    </row>
    <row r="76" spans="1:7" x14ac:dyDescent="0.25">
      <c r="A76" s="12" t="s">
        <v>221</v>
      </c>
      <c r="B76" s="5">
        <v>2018</v>
      </c>
      <c r="C76" s="5" t="s">
        <v>273</v>
      </c>
      <c r="D76" s="5"/>
      <c r="E76" s="5"/>
      <c r="F76" s="5"/>
      <c r="G76" s="52"/>
    </row>
    <row r="77" spans="1:7" x14ac:dyDescent="0.25">
      <c r="A77" s="12" t="s">
        <v>221</v>
      </c>
      <c r="B77" s="5">
        <v>2019</v>
      </c>
      <c r="C77" s="5" t="s">
        <v>273</v>
      </c>
      <c r="D77" s="5"/>
      <c r="E77" s="5"/>
      <c r="F77" s="5"/>
      <c r="G77" s="52"/>
    </row>
    <row r="78" spans="1:7" x14ac:dyDescent="0.25">
      <c r="A78" s="12" t="s">
        <v>221</v>
      </c>
      <c r="B78" s="5">
        <v>2020</v>
      </c>
      <c r="C78" s="5" t="s">
        <v>273</v>
      </c>
      <c r="D78" s="5"/>
      <c r="E78" s="5"/>
      <c r="F78" s="5"/>
      <c r="G78" s="52"/>
    </row>
    <row r="79" spans="1:7" x14ac:dyDescent="0.25">
      <c r="A79" s="13" t="s">
        <v>11</v>
      </c>
      <c r="B79" s="5">
        <v>2017</v>
      </c>
      <c r="C79" s="5" t="s">
        <v>273</v>
      </c>
      <c r="D79" s="5"/>
      <c r="E79" s="5"/>
      <c r="F79" s="5"/>
      <c r="G79" s="52"/>
    </row>
    <row r="80" spans="1:7" x14ac:dyDescent="0.25">
      <c r="A80" s="13" t="s">
        <v>11</v>
      </c>
      <c r="B80" s="5">
        <v>2018</v>
      </c>
      <c r="C80" s="5" t="s">
        <v>273</v>
      </c>
      <c r="D80" s="5"/>
      <c r="E80" s="5"/>
      <c r="F80" s="5"/>
      <c r="G80" s="52"/>
    </row>
    <row r="81" spans="1:7" x14ac:dyDescent="0.25">
      <c r="A81" s="13" t="s">
        <v>11</v>
      </c>
      <c r="B81" s="5">
        <v>2019</v>
      </c>
      <c r="C81" s="5" t="s">
        <v>273</v>
      </c>
      <c r="D81" s="5"/>
      <c r="E81" s="5"/>
      <c r="F81" s="5"/>
      <c r="G81" s="52"/>
    </row>
  </sheetData>
  <autoFilter ref="A1:G81" xr:uid="{00000000-0001-0000-0800-000000000000}">
    <sortState xmlns:xlrd2="http://schemas.microsoft.com/office/spreadsheetml/2017/richdata2" ref="A2:G81">
      <sortCondition descending="1" ref="G1:G81"/>
    </sortState>
  </autoFilter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0">
    <tabColor theme="7"/>
  </sheetPr>
  <dimension ref="A1:L27"/>
  <sheetViews>
    <sheetView zoomScale="115" zoomScaleNormal="115" workbookViewId="0">
      <selection activeCell="C4" sqref="C4"/>
    </sheetView>
  </sheetViews>
  <sheetFormatPr baseColWidth="10" defaultColWidth="8.7109375" defaultRowHeight="15" x14ac:dyDescent="0.25"/>
  <cols>
    <col min="1" max="1" width="18" style="2" customWidth="1"/>
    <col min="2" max="2" width="14" style="2" customWidth="1"/>
    <col min="3" max="12" width="11" style="2" customWidth="1"/>
    <col min="13" max="13" width="8.7109375" style="2" customWidth="1"/>
    <col min="14" max="16384" width="8.7109375" style="2"/>
  </cols>
  <sheetData>
    <row r="1" spans="1:12" ht="21.75" customHeight="1" x14ac:dyDescent="0.25">
      <c r="A1" s="107" t="s">
        <v>275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</row>
    <row r="2" spans="1:12" ht="15" customHeight="1" x14ac:dyDescent="0.25">
      <c r="A2" s="109" t="s">
        <v>55</v>
      </c>
      <c r="B2" s="109" t="s">
        <v>39</v>
      </c>
      <c r="C2" s="108" t="s">
        <v>40</v>
      </c>
      <c r="D2" s="95"/>
      <c r="E2" s="95"/>
      <c r="F2" s="95"/>
      <c r="G2" s="95"/>
      <c r="H2" s="95"/>
      <c r="I2" s="95"/>
      <c r="J2" s="95"/>
      <c r="K2" s="95"/>
      <c r="L2" s="95"/>
    </row>
    <row r="3" spans="1:12" x14ac:dyDescent="0.25">
      <c r="A3" s="110"/>
      <c r="B3" s="110"/>
      <c r="C3" s="47"/>
      <c r="D3" s="47"/>
      <c r="E3" s="47"/>
      <c r="F3" s="47"/>
      <c r="G3" s="47"/>
      <c r="H3" s="47"/>
      <c r="I3" s="47"/>
      <c r="J3" s="47"/>
      <c r="K3" s="47"/>
      <c r="L3" s="47"/>
    </row>
    <row r="4" spans="1:12" x14ac:dyDescent="0.25">
      <c r="A4" s="4" t="s">
        <v>9</v>
      </c>
      <c r="B4" s="53" t="s">
        <v>276</v>
      </c>
      <c r="C4" s="6">
        <v>16159</v>
      </c>
      <c r="D4" s="6">
        <v>19221</v>
      </c>
      <c r="E4" s="6">
        <v>24303</v>
      </c>
      <c r="F4" s="6">
        <v>15554</v>
      </c>
      <c r="G4" s="6">
        <v>26914</v>
      </c>
      <c r="H4" s="6">
        <v>30497</v>
      </c>
      <c r="I4" s="6">
        <v>34272</v>
      </c>
      <c r="J4" s="6">
        <v>33940</v>
      </c>
      <c r="K4" s="6">
        <v>40546</v>
      </c>
      <c r="L4" s="6">
        <v>8945</v>
      </c>
    </row>
    <row r="5" spans="1:12" x14ac:dyDescent="0.25">
      <c r="A5" s="4"/>
      <c r="B5" s="53" t="s">
        <v>277</v>
      </c>
      <c r="C5" s="6">
        <v>14326</v>
      </c>
      <c r="D5" s="6">
        <v>18989</v>
      </c>
      <c r="E5" s="6">
        <v>23560</v>
      </c>
      <c r="F5" s="6">
        <v>11704</v>
      </c>
      <c r="G5" s="6">
        <v>26464</v>
      </c>
      <c r="H5" s="6">
        <v>30280</v>
      </c>
      <c r="I5" s="6">
        <v>33822</v>
      </c>
      <c r="J5" s="6">
        <v>33513</v>
      </c>
      <c r="K5" s="6">
        <v>40027</v>
      </c>
      <c r="L5" s="6">
        <v>8904</v>
      </c>
    </row>
    <row r="6" spans="1:12" x14ac:dyDescent="0.25">
      <c r="A6" s="4"/>
      <c r="B6" s="50" t="s">
        <v>278</v>
      </c>
      <c r="C6" s="54">
        <v>4470</v>
      </c>
      <c r="D6" s="54">
        <v>2517</v>
      </c>
      <c r="E6" s="54">
        <v>80</v>
      </c>
      <c r="F6" s="54">
        <v>229</v>
      </c>
      <c r="G6" s="54">
        <v>84</v>
      </c>
      <c r="H6" s="54">
        <v>25</v>
      </c>
      <c r="I6" s="54">
        <v>28</v>
      </c>
      <c r="J6" s="54">
        <v>31</v>
      </c>
      <c r="K6" s="54">
        <v>43</v>
      </c>
      <c r="L6" s="54">
        <v>8</v>
      </c>
    </row>
    <row r="7" spans="1:12" x14ac:dyDescent="0.25">
      <c r="A7" s="10" t="s">
        <v>10</v>
      </c>
      <c r="B7" s="53" t="s">
        <v>276</v>
      </c>
      <c r="C7" s="6">
        <v>2802</v>
      </c>
      <c r="D7" s="6">
        <v>1831</v>
      </c>
      <c r="E7" s="6">
        <v>2531</v>
      </c>
      <c r="F7" s="6">
        <v>1640</v>
      </c>
      <c r="G7" s="6">
        <v>2905</v>
      </c>
      <c r="H7" s="6">
        <v>3590</v>
      </c>
      <c r="I7" s="6">
        <v>3610</v>
      </c>
      <c r="J7" s="6">
        <v>3386</v>
      </c>
      <c r="K7" s="6">
        <v>2895</v>
      </c>
      <c r="L7" s="6">
        <v>506</v>
      </c>
    </row>
    <row r="8" spans="1:12" x14ac:dyDescent="0.25">
      <c r="A8" s="10"/>
      <c r="B8" s="53" t="s">
        <v>277</v>
      </c>
      <c r="C8" s="6">
        <v>2742</v>
      </c>
      <c r="D8" s="6">
        <v>1787</v>
      </c>
      <c r="E8" s="6">
        <v>2434</v>
      </c>
      <c r="F8" s="6">
        <v>1322</v>
      </c>
      <c r="G8" s="6">
        <v>2858</v>
      </c>
      <c r="H8" s="6">
        <v>3526</v>
      </c>
      <c r="I8" s="6">
        <v>3575</v>
      </c>
      <c r="J8" s="6">
        <v>3374</v>
      </c>
      <c r="K8" s="6">
        <v>2824</v>
      </c>
      <c r="L8" s="6">
        <v>489</v>
      </c>
    </row>
    <row r="9" spans="1:12" x14ac:dyDescent="0.25">
      <c r="A9" s="10"/>
      <c r="B9" s="50" t="s">
        <v>278</v>
      </c>
      <c r="C9" s="54">
        <v>370</v>
      </c>
      <c r="D9" s="54">
        <v>114</v>
      </c>
      <c r="E9" s="54">
        <v>5</v>
      </c>
      <c r="F9" s="54">
        <v>14</v>
      </c>
      <c r="G9" s="54">
        <v>89</v>
      </c>
      <c r="H9" s="54">
        <v>84</v>
      </c>
      <c r="I9" s="54">
        <v>149</v>
      </c>
      <c r="J9" s="54">
        <v>45</v>
      </c>
      <c r="K9" s="54">
        <v>45</v>
      </c>
      <c r="L9" s="54">
        <v>9</v>
      </c>
    </row>
    <row r="10" spans="1:12" x14ac:dyDescent="0.25">
      <c r="A10" s="11" t="s">
        <v>13</v>
      </c>
      <c r="B10" s="53" t="s">
        <v>276</v>
      </c>
      <c r="C10" s="6">
        <v>905</v>
      </c>
      <c r="D10" s="6">
        <v>1225</v>
      </c>
      <c r="E10" s="6">
        <v>1535</v>
      </c>
      <c r="F10" s="6">
        <v>932</v>
      </c>
      <c r="G10" s="6">
        <v>1347</v>
      </c>
      <c r="H10" s="6">
        <v>1640</v>
      </c>
      <c r="I10" s="6">
        <v>1813</v>
      </c>
      <c r="J10" s="6">
        <v>2228</v>
      </c>
      <c r="K10" s="6">
        <v>2904</v>
      </c>
      <c r="L10" s="6">
        <v>646</v>
      </c>
    </row>
    <row r="11" spans="1:12" x14ac:dyDescent="0.25">
      <c r="A11" s="11"/>
      <c r="B11" s="53" t="s">
        <v>277</v>
      </c>
      <c r="C11" s="6">
        <v>905</v>
      </c>
      <c r="D11" s="6">
        <v>1221</v>
      </c>
      <c r="E11" s="6">
        <v>1528</v>
      </c>
      <c r="F11" s="6">
        <v>870</v>
      </c>
      <c r="G11" s="6">
        <v>1344</v>
      </c>
      <c r="H11" s="6">
        <v>1636</v>
      </c>
      <c r="I11" s="6">
        <v>1806</v>
      </c>
      <c r="J11" s="6">
        <v>2219</v>
      </c>
      <c r="K11" s="6">
        <v>2883</v>
      </c>
      <c r="L11" s="6">
        <v>646</v>
      </c>
    </row>
    <row r="12" spans="1:12" x14ac:dyDescent="0.25">
      <c r="A12" s="11"/>
      <c r="B12" s="50" t="s">
        <v>278</v>
      </c>
      <c r="C12" s="54">
        <v>245</v>
      </c>
      <c r="D12" s="54">
        <v>453</v>
      </c>
      <c r="E12" s="54">
        <v>352</v>
      </c>
      <c r="F12" s="54">
        <v>118</v>
      </c>
      <c r="G12" s="54">
        <v>218</v>
      </c>
      <c r="H12" s="54">
        <v>230</v>
      </c>
      <c r="I12" s="54">
        <v>306</v>
      </c>
      <c r="J12" s="54">
        <v>309</v>
      </c>
      <c r="K12" s="54">
        <v>491</v>
      </c>
      <c r="L12" s="54">
        <v>124</v>
      </c>
    </row>
    <row r="13" spans="1:12" x14ac:dyDescent="0.25">
      <c r="A13" s="12" t="s">
        <v>221</v>
      </c>
      <c r="B13" s="53" t="s">
        <v>276</v>
      </c>
      <c r="C13" s="6"/>
      <c r="D13" s="6"/>
      <c r="E13" s="6"/>
      <c r="F13" s="6"/>
      <c r="G13" s="6">
        <v>1774</v>
      </c>
      <c r="H13" s="6">
        <v>1988</v>
      </c>
      <c r="I13" s="6">
        <v>2030</v>
      </c>
      <c r="J13" s="6">
        <v>2505</v>
      </c>
      <c r="K13" s="6">
        <v>2424</v>
      </c>
      <c r="L13" s="6">
        <v>413</v>
      </c>
    </row>
    <row r="14" spans="1:12" x14ac:dyDescent="0.25">
      <c r="A14" s="12"/>
      <c r="B14" s="53" t="s">
        <v>277</v>
      </c>
      <c r="C14" s="6"/>
      <c r="D14" s="6"/>
      <c r="E14" s="6"/>
      <c r="F14" s="6"/>
      <c r="G14" s="6">
        <v>1758</v>
      </c>
      <c r="H14" s="6">
        <v>1981</v>
      </c>
      <c r="I14" s="6">
        <v>2029</v>
      </c>
      <c r="J14" s="6">
        <v>2497</v>
      </c>
      <c r="K14" s="6">
        <v>2421</v>
      </c>
      <c r="L14" s="6">
        <v>413</v>
      </c>
    </row>
    <row r="15" spans="1:12" x14ac:dyDescent="0.25">
      <c r="A15" s="12"/>
      <c r="B15" s="50" t="s">
        <v>278</v>
      </c>
      <c r="C15" s="54"/>
      <c r="D15" s="54"/>
      <c r="E15" s="54"/>
      <c r="F15" s="54"/>
      <c r="G15" s="54">
        <v>179</v>
      </c>
      <c r="H15" s="54">
        <v>19</v>
      </c>
      <c r="I15" s="54">
        <v>24</v>
      </c>
      <c r="J15" s="54">
        <v>162</v>
      </c>
      <c r="K15" s="54">
        <v>63</v>
      </c>
      <c r="L15" s="54">
        <v>10</v>
      </c>
    </row>
    <row r="16" spans="1:12" x14ac:dyDescent="0.25">
      <c r="A16" s="13" t="s">
        <v>11</v>
      </c>
      <c r="B16" s="53" t="s">
        <v>276</v>
      </c>
      <c r="C16" s="6"/>
      <c r="D16" s="6"/>
      <c r="E16" s="6"/>
      <c r="F16" s="6">
        <v>565</v>
      </c>
      <c r="G16" s="6">
        <v>2522</v>
      </c>
      <c r="H16" s="6">
        <v>3220</v>
      </c>
      <c r="I16" s="6">
        <v>4073</v>
      </c>
      <c r="J16" s="6">
        <v>5763</v>
      </c>
      <c r="K16" s="6">
        <v>6702</v>
      </c>
      <c r="L16" s="6">
        <v>1019</v>
      </c>
    </row>
    <row r="17" spans="1:12" x14ac:dyDescent="0.25">
      <c r="A17" s="13"/>
      <c r="B17" s="53" t="s">
        <v>277</v>
      </c>
      <c r="C17" s="6"/>
      <c r="D17" s="6"/>
      <c r="E17" s="6"/>
      <c r="F17" s="6">
        <v>554</v>
      </c>
      <c r="G17" s="6">
        <v>2502</v>
      </c>
      <c r="H17" s="6">
        <v>3171</v>
      </c>
      <c r="I17" s="6">
        <v>4033</v>
      </c>
      <c r="J17" s="6">
        <v>5750</v>
      </c>
      <c r="K17" s="6">
        <v>6677</v>
      </c>
      <c r="L17" s="6">
        <v>1018</v>
      </c>
    </row>
    <row r="18" spans="1:12" x14ac:dyDescent="0.25">
      <c r="A18" s="13"/>
      <c r="B18" s="50" t="s">
        <v>278</v>
      </c>
      <c r="C18" s="54"/>
      <c r="D18" s="54"/>
      <c r="E18" s="54"/>
      <c r="F18" s="54">
        <v>39</v>
      </c>
      <c r="G18" s="54">
        <v>108</v>
      </c>
      <c r="H18" s="54">
        <v>173</v>
      </c>
      <c r="I18" s="54">
        <v>53</v>
      </c>
      <c r="J18" s="54">
        <v>59</v>
      </c>
      <c r="K18" s="54">
        <v>263</v>
      </c>
      <c r="L18" s="54">
        <v>12</v>
      </c>
    </row>
    <row r="19" spans="1:12" x14ac:dyDescent="0.25">
      <c r="A19" s="14" t="s">
        <v>254</v>
      </c>
      <c r="B19" s="53" t="s">
        <v>276</v>
      </c>
      <c r="C19" s="6">
        <v>455</v>
      </c>
      <c r="D19" s="6">
        <v>727</v>
      </c>
      <c r="E19" s="6">
        <v>1204</v>
      </c>
      <c r="F19" s="6">
        <v>696</v>
      </c>
      <c r="G19" s="6">
        <v>1246</v>
      </c>
      <c r="H19" s="6">
        <v>1443</v>
      </c>
      <c r="I19" s="6">
        <v>1616</v>
      </c>
      <c r="J19" s="6">
        <v>2056</v>
      </c>
      <c r="K19" s="6">
        <v>2866</v>
      </c>
      <c r="L19" s="6">
        <v>699</v>
      </c>
    </row>
    <row r="20" spans="1:12" x14ac:dyDescent="0.25">
      <c r="A20" s="14"/>
      <c r="B20" s="53" t="s">
        <v>277</v>
      </c>
      <c r="C20" s="6">
        <v>453</v>
      </c>
      <c r="D20" s="6">
        <v>725</v>
      </c>
      <c r="E20" s="6">
        <v>1180</v>
      </c>
      <c r="F20" s="6">
        <v>572</v>
      </c>
      <c r="G20" s="6">
        <v>1238</v>
      </c>
      <c r="H20" s="6">
        <v>1441</v>
      </c>
      <c r="I20" s="6">
        <v>1610</v>
      </c>
      <c r="J20" s="6">
        <v>2056</v>
      </c>
      <c r="K20" s="6">
        <v>2863</v>
      </c>
      <c r="L20" s="6">
        <v>699</v>
      </c>
    </row>
    <row r="21" spans="1:12" x14ac:dyDescent="0.25">
      <c r="A21" s="14"/>
      <c r="B21" s="50" t="s">
        <v>278</v>
      </c>
      <c r="C21" s="54">
        <v>101</v>
      </c>
      <c r="D21" s="54">
        <v>20</v>
      </c>
      <c r="E21" s="54">
        <v>3</v>
      </c>
      <c r="F21" s="54">
        <v>19</v>
      </c>
      <c r="G21" s="54">
        <v>86</v>
      </c>
      <c r="H21" s="54">
        <v>78</v>
      </c>
      <c r="I21" s="54">
        <v>139</v>
      </c>
      <c r="J21" s="54">
        <v>87</v>
      </c>
      <c r="K21" s="54">
        <v>267</v>
      </c>
      <c r="L21" s="54">
        <v>48</v>
      </c>
    </row>
    <row r="22" spans="1:12" x14ac:dyDescent="0.25">
      <c r="A22" s="15" t="s">
        <v>210</v>
      </c>
      <c r="B22" s="53" t="s">
        <v>276</v>
      </c>
      <c r="C22" s="6">
        <v>877</v>
      </c>
      <c r="D22" s="6">
        <v>861</v>
      </c>
      <c r="E22" s="6">
        <v>981</v>
      </c>
      <c r="F22" s="6">
        <v>553</v>
      </c>
      <c r="G22" s="6">
        <v>924</v>
      </c>
      <c r="H22" s="6">
        <v>1204</v>
      </c>
      <c r="I22" s="6">
        <v>1675</v>
      </c>
      <c r="J22" s="6">
        <v>2000</v>
      </c>
      <c r="K22" s="6">
        <v>1954</v>
      </c>
      <c r="L22" s="6">
        <v>319</v>
      </c>
    </row>
    <row r="23" spans="1:12" x14ac:dyDescent="0.25">
      <c r="A23" s="15"/>
      <c r="B23" s="53" t="s">
        <v>277</v>
      </c>
      <c r="C23" s="6">
        <v>835</v>
      </c>
      <c r="D23" s="6">
        <v>841</v>
      </c>
      <c r="E23" s="6">
        <v>906</v>
      </c>
      <c r="F23" s="6">
        <v>398</v>
      </c>
      <c r="G23" s="6">
        <v>901</v>
      </c>
      <c r="H23" s="6">
        <v>1191</v>
      </c>
      <c r="I23" s="6">
        <v>1651</v>
      </c>
      <c r="J23" s="6">
        <v>1953</v>
      </c>
      <c r="K23" s="6">
        <v>1884</v>
      </c>
      <c r="L23" s="6">
        <v>315</v>
      </c>
    </row>
    <row r="24" spans="1:12" x14ac:dyDescent="0.25">
      <c r="A24" s="15"/>
      <c r="B24" s="50" t="s">
        <v>278</v>
      </c>
      <c r="C24" s="54">
        <v>243</v>
      </c>
      <c r="D24" s="54">
        <v>14</v>
      </c>
      <c r="E24" s="54">
        <v>41</v>
      </c>
      <c r="F24" s="54">
        <v>41</v>
      </c>
      <c r="G24" s="54">
        <v>64</v>
      </c>
      <c r="H24" s="54">
        <v>139</v>
      </c>
      <c r="I24" s="54">
        <v>256</v>
      </c>
      <c r="J24" s="54">
        <v>331</v>
      </c>
      <c r="K24" s="54">
        <v>283</v>
      </c>
      <c r="L24" s="54">
        <v>51</v>
      </c>
    </row>
    <row r="25" spans="1:12" x14ac:dyDescent="0.25">
      <c r="A25" s="16" t="s">
        <v>255</v>
      </c>
      <c r="B25" s="53" t="s">
        <v>276</v>
      </c>
      <c r="C25" s="6">
        <v>491</v>
      </c>
      <c r="D25" s="6">
        <v>365</v>
      </c>
      <c r="E25" s="6">
        <v>322</v>
      </c>
      <c r="F25" s="6">
        <v>91</v>
      </c>
      <c r="G25" s="6">
        <v>206</v>
      </c>
      <c r="H25" s="6">
        <v>269</v>
      </c>
      <c r="I25" s="6">
        <v>330</v>
      </c>
      <c r="J25" s="6">
        <v>460</v>
      </c>
      <c r="K25" s="6">
        <v>536</v>
      </c>
      <c r="L25" s="6">
        <v>129</v>
      </c>
    </row>
    <row r="26" spans="1:12" x14ac:dyDescent="0.25">
      <c r="A26" s="16"/>
      <c r="B26" s="53" t="s">
        <v>277</v>
      </c>
      <c r="C26" s="6">
        <v>444</v>
      </c>
      <c r="D26" s="6">
        <v>361</v>
      </c>
      <c r="E26" s="6">
        <v>302</v>
      </c>
      <c r="F26" s="6">
        <v>83</v>
      </c>
      <c r="G26" s="6">
        <v>206</v>
      </c>
      <c r="H26" s="6">
        <v>262</v>
      </c>
      <c r="I26" s="6">
        <v>327</v>
      </c>
      <c r="J26" s="6">
        <v>454</v>
      </c>
      <c r="K26" s="6">
        <v>522</v>
      </c>
      <c r="L26" s="6">
        <v>112</v>
      </c>
    </row>
    <row r="27" spans="1:12" x14ac:dyDescent="0.25">
      <c r="A27" s="16"/>
      <c r="B27" s="50" t="s">
        <v>278</v>
      </c>
      <c r="C27" s="54">
        <v>181</v>
      </c>
      <c r="D27" s="54">
        <v>71</v>
      </c>
      <c r="E27" s="54">
        <v>2</v>
      </c>
      <c r="F27" s="54">
        <v>13</v>
      </c>
      <c r="G27" s="54">
        <v>5</v>
      </c>
      <c r="H27" s="54">
        <v>4</v>
      </c>
      <c r="I27" s="54">
        <v>70</v>
      </c>
      <c r="J27" s="54">
        <v>79</v>
      </c>
      <c r="K27" s="54">
        <v>115</v>
      </c>
      <c r="L27" s="54">
        <v>17</v>
      </c>
    </row>
  </sheetData>
  <mergeCells count="4">
    <mergeCell ref="A1:L1"/>
    <mergeCell ref="C2:L2"/>
    <mergeCell ref="A2:A3"/>
    <mergeCell ref="B2:B3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8" tint="0.59999389629810485"/>
  </sheetPr>
  <dimension ref="A1:D15"/>
  <sheetViews>
    <sheetView workbookViewId="0">
      <selection activeCell="I21" sqref="I21"/>
    </sheetView>
  </sheetViews>
  <sheetFormatPr baseColWidth="10" defaultColWidth="9.140625" defaultRowHeight="15" x14ac:dyDescent="0.25"/>
  <cols>
    <col min="1" max="1" width="129.5703125" bestFit="1" customWidth="1"/>
    <col min="2" max="2" width="16.28515625" bestFit="1" customWidth="1"/>
    <col min="3" max="3" width="21.42578125" bestFit="1" customWidth="1"/>
    <col min="4" max="4" width="20.42578125" bestFit="1" customWidth="1"/>
  </cols>
  <sheetData>
    <row r="1" spans="1:4" ht="15" customHeight="1" x14ac:dyDescent="0.25">
      <c r="A1" s="47" t="s">
        <v>279</v>
      </c>
      <c r="B1" s="47" t="s">
        <v>280</v>
      </c>
      <c r="C1" s="47" t="s">
        <v>281</v>
      </c>
      <c r="D1" s="47" t="s">
        <v>282</v>
      </c>
    </row>
    <row r="2" spans="1:4" x14ac:dyDescent="0.25">
      <c r="A2" s="50" t="s">
        <v>283</v>
      </c>
      <c r="B2" s="54">
        <v>2380</v>
      </c>
      <c r="C2" s="54">
        <v>3049</v>
      </c>
      <c r="D2" s="54">
        <v>28.1</v>
      </c>
    </row>
    <row r="3" spans="1:4" x14ac:dyDescent="0.25">
      <c r="A3" s="53" t="s">
        <v>284</v>
      </c>
      <c r="B3" s="6">
        <v>1100</v>
      </c>
      <c r="C3" s="6">
        <v>2069</v>
      </c>
      <c r="D3" s="6">
        <v>88.1</v>
      </c>
    </row>
    <row r="4" spans="1:4" x14ac:dyDescent="0.25">
      <c r="A4" s="50" t="s">
        <v>285</v>
      </c>
      <c r="B4" s="54">
        <v>1100</v>
      </c>
      <c r="C4" s="54">
        <v>1512</v>
      </c>
      <c r="D4" s="54">
        <v>37.5</v>
      </c>
    </row>
    <row r="5" spans="1:4" x14ac:dyDescent="0.25">
      <c r="A5" s="53" t="s">
        <v>286</v>
      </c>
      <c r="B5" s="6">
        <v>550</v>
      </c>
      <c r="C5" s="6">
        <v>1354</v>
      </c>
      <c r="D5" s="6">
        <v>146.19999999999999</v>
      </c>
    </row>
    <row r="6" spans="1:4" x14ac:dyDescent="0.25">
      <c r="A6" s="50" t="s">
        <v>287</v>
      </c>
      <c r="B6" s="54">
        <v>550</v>
      </c>
      <c r="C6" s="54">
        <v>1348</v>
      </c>
      <c r="D6" s="54">
        <v>145.1</v>
      </c>
    </row>
    <row r="7" spans="1:4" x14ac:dyDescent="0.25">
      <c r="A7" s="53" t="s">
        <v>288</v>
      </c>
      <c r="B7" s="6">
        <v>810</v>
      </c>
      <c r="C7" s="6">
        <v>1316</v>
      </c>
      <c r="D7" s="6">
        <v>62.5</v>
      </c>
    </row>
    <row r="8" spans="1:4" x14ac:dyDescent="0.25">
      <c r="A8" s="50" t="s">
        <v>289</v>
      </c>
      <c r="B8" s="54">
        <v>810</v>
      </c>
      <c r="C8" s="54">
        <v>1255</v>
      </c>
      <c r="D8" s="54">
        <v>54.9</v>
      </c>
    </row>
    <row r="9" spans="1:4" x14ac:dyDescent="0.25">
      <c r="A9" s="53" t="s">
        <v>290</v>
      </c>
      <c r="B9" s="6">
        <v>810</v>
      </c>
      <c r="C9" s="6">
        <v>1254</v>
      </c>
      <c r="D9" s="6">
        <v>54.8</v>
      </c>
    </row>
    <row r="10" spans="1:4" x14ac:dyDescent="0.25">
      <c r="A10" s="50" t="s">
        <v>291</v>
      </c>
      <c r="B10" s="54">
        <v>850</v>
      </c>
      <c r="C10" s="54">
        <v>1152</v>
      </c>
      <c r="D10" s="54">
        <v>35.5</v>
      </c>
    </row>
    <row r="11" spans="1:4" x14ac:dyDescent="0.25">
      <c r="A11" s="53" t="s">
        <v>292</v>
      </c>
      <c r="B11" s="6">
        <v>810</v>
      </c>
      <c r="C11" s="6">
        <v>1068</v>
      </c>
      <c r="D11" s="6">
        <v>31.9</v>
      </c>
    </row>
    <row r="12" spans="1:4" x14ac:dyDescent="0.25">
      <c r="A12" s="50" t="s">
        <v>293</v>
      </c>
      <c r="B12" s="54">
        <v>180</v>
      </c>
      <c r="C12" s="54">
        <v>329</v>
      </c>
      <c r="D12" s="54">
        <v>82.8</v>
      </c>
    </row>
    <row r="13" spans="1:4" x14ac:dyDescent="0.25">
      <c r="A13" s="53" t="s">
        <v>294</v>
      </c>
      <c r="B13" s="6">
        <v>180</v>
      </c>
      <c r="C13" s="6">
        <v>310</v>
      </c>
      <c r="D13" s="6">
        <v>72.2</v>
      </c>
    </row>
    <row r="14" spans="1:4" x14ac:dyDescent="0.25">
      <c r="A14" s="50" t="s">
        <v>295</v>
      </c>
      <c r="B14" s="54">
        <v>90</v>
      </c>
      <c r="C14" s="54">
        <v>296</v>
      </c>
      <c r="D14" s="54">
        <v>228.9</v>
      </c>
    </row>
    <row r="15" spans="1:4" x14ac:dyDescent="0.25">
      <c r="A15" s="53" t="s">
        <v>296</v>
      </c>
      <c r="B15" s="6">
        <v>90</v>
      </c>
      <c r="C15" s="6">
        <v>267</v>
      </c>
      <c r="D15" s="6">
        <v>196.7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9" tint="0.59999389629810485"/>
  </sheetPr>
  <dimension ref="A1:D49"/>
  <sheetViews>
    <sheetView zoomScale="130" zoomScaleNormal="130" workbookViewId="0">
      <selection activeCell="F5" sqref="F5"/>
    </sheetView>
  </sheetViews>
  <sheetFormatPr baseColWidth="10" defaultColWidth="9.140625" defaultRowHeight="15" x14ac:dyDescent="0.25"/>
  <cols>
    <col min="1" max="1" width="13.7109375" customWidth="1"/>
    <col min="4" max="4" width="9.5703125" bestFit="1" customWidth="1"/>
  </cols>
  <sheetData>
    <row r="1" spans="1:4" s="72" customFormat="1" ht="20.100000000000001" customHeight="1" thickBot="1" x14ac:dyDescent="0.3">
      <c r="A1" s="73" t="s">
        <v>297</v>
      </c>
      <c r="B1" s="73" t="s">
        <v>298</v>
      </c>
      <c r="C1" s="73" t="s">
        <v>18</v>
      </c>
      <c r="D1" s="73" t="s">
        <v>438</v>
      </c>
    </row>
    <row r="2" spans="1:4" s="72" customFormat="1" ht="20.100000000000001" customHeight="1" thickBot="1" x14ac:dyDescent="0.3">
      <c r="A2" s="74" t="s">
        <v>9</v>
      </c>
      <c r="B2" s="75">
        <v>1</v>
      </c>
      <c r="C2" s="75">
        <v>2026</v>
      </c>
      <c r="D2" s="75">
        <v>630005</v>
      </c>
    </row>
    <row r="3" spans="1:4" s="72" customFormat="1" ht="20.100000000000001" customHeight="1" thickBot="1" x14ac:dyDescent="0.3">
      <c r="A3" s="74" t="s">
        <v>9</v>
      </c>
      <c r="B3" s="75">
        <v>1</v>
      </c>
      <c r="C3" s="75">
        <v>2027</v>
      </c>
      <c r="D3" s="75">
        <v>636085</v>
      </c>
    </row>
    <row r="4" spans="1:4" s="72" customFormat="1" ht="20.100000000000001" customHeight="1" thickBot="1" x14ac:dyDescent="0.3">
      <c r="A4" s="74" t="s">
        <v>9</v>
      </c>
      <c r="B4" s="75">
        <v>1</v>
      </c>
      <c r="C4" s="75">
        <v>2028</v>
      </c>
      <c r="D4" s="75">
        <v>642224</v>
      </c>
    </row>
    <row r="5" spans="1:4" s="72" customFormat="1" ht="20.100000000000001" customHeight="1" thickBot="1" x14ac:dyDescent="0.3">
      <c r="A5" s="74" t="s">
        <v>9</v>
      </c>
      <c r="B5" s="75">
        <v>1</v>
      </c>
      <c r="C5" s="75">
        <v>2029</v>
      </c>
      <c r="D5" s="75">
        <v>648422</v>
      </c>
    </row>
    <row r="6" spans="1:4" s="72" customFormat="1" ht="20.100000000000001" customHeight="1" thickBot="1" x14ac:dyDescent="0.3">
      <c r="A6" s="74" t="s">
        <v>9</v>
      </c>
      <c r="B6" s="75">
        <v>1</v>
      </c>
      <c r="C6" s="75">
        <v>2030</v>
      </c>
      <c r="D6" s="75">
        <v>654680</v>
      </c>
    </row>
    <row r="7" spans="1:4" s="72" customFormat="1" ht="20.100000000000001" customHeight="1" thickBot="1" x14ac:dyDescent="0.3">
      <c r="A7" s="74" t="s">
        <v>9</v>
      </c>
      <c r="B7" s="75">
        <v>1</v>
      </c>
      <c r="C7" s="75">
        <v>2031</v>
      </c>
      <c r="D7" s="75">
        <v>660997</v>
      </c>
    </row>
    <row r="8" spans="1:4" s="72" customFormat="1" ht="20.100000000000001" customHeight="1" thickBot="1" x14ac:dyDescent="0.3">
      <c r="A8" s="76" t="s">
        <v>14</v>
      </c>
      <c r="B8" s="75">
        <v>-0.3</v>
      </c>
      <c r="C8" s="75">
        <v>2026</v>
      </c>
      <c r="D8" s="75">
        <v>57682</v>
      </c>
    </row>
    <row r="9" spans="1:4" s="72" customFormat="1" ht="20.100000000000001" customHeight="1" thickBot="1" x14ac:dyDescent="0.3">
      <c r="A9" s="76" t="s">
        <v>14</v>
      </c>
      <c r="B9" s="75">
        <v>-0.3</v>
      </c>
      <c r="C9" s="75">
        <v>2027</v>
      </c>
      <c r="D9" s="75">
        <v>57531</v>
      </c>
    </row>
    <row r="10" spans="1:4" s="72" customFormat="1" ht="20.100000000000001" customHeight="1" thickBot="1" x14ac:dyDescent="0.3">
      <c r="A10" s="76" t="s">
        <v>14</v>
      </c>
      <c r="B10" s="75">
        <v>-0.3</v>
      </c>
      <c r="C10" s="75">
        <v>2028</v>
      </c>
      <c r="D10" s="75">
        <v>57381</v>
      </c>
    </row>
    <row r="11" spans="1:4" s="72" customFormat="1" ht="20.100000000000001" customHeight="1" thickBot="1" x14ac:dyDescent="0.3">
      <c r="A11" s="76" t="s">
        <v>14</v>
      </c>
      <c r="B11" s="75">
        <v>-0.3</v>
      </c>
      <c r="C11" s="75">
        <v>2029</v>
      </c>
      <c r="D11" s="75">
        <v>57231</v>
      </c>
    </row>
    <row r="12" spans="1:4" s="72" customFormat="1" ht="20.100000000000001" customHeight="1" thickBot="1" x14ac:dyDescent="0.3">
      <c r="A12" s="76" t="s">
        <v>14</v>
      </c>
      <c r="B12" s="75">
        <v>-0.3</v>
      </c>
      <c r="C12" s="75">
        <v>2030</v>
      </c>
      <c r="D12" s="75">
        <v>57082</v>
      </c>
    </row>
    <row r="13" spans="1:4" s="72" customFormat="1" ht="20.100000000000001" customHeight="1" thickBot="1" x14ac:dyDescent="0.3">
      <c r="A13" s="76" t="s">
        <v>14</v>
      </c>
      <c r="B13" s="75">
        <v>-0.3</v>
      </c>
      <c r="C13" s="75">
        <v>2031</v>
      </c>
      <c r="D13" s="75">
        <v>56933</v>
      </c>
    </row>
    <row r="14" spans="1:4" s="72" customFormat="1" ht="20.100000000000001" customHeight="1" thickBot="1" x14ac:dyDescent="0.3">
      <c r="A14" s="77" t="s">
        <v>11</v>
      </c>
      <c r="B14" s="75">
        <v>-0.4</v>
      </c>
      <c r="C14" s="75">
        <v>2026</v>
      </c>
      <c r="D14" s="75">
        <v>85233</v>
      </c>
    </row>
    <row r="15" spans="1:4" s="72" customFormat="1" ht="20.100000000000001" customHeight="1" thickBot="1" x14ac:dyDescent="0.3">
      <c r="A15" s="77" t="s">
        <v>11</v>
      </c>
      <c r="B15" s="75">
        <v>-0.4</v>
      </c>
      <c r="C15" s="75">
        <v>2027</v>
      </c>
      <c r="D15" s="75">
        <v>84879</v>
      </c>
    </row>
    <row r="16" spans="1:4" s="72" customFormat="1" ht="20.100000000000001" customHeight="1" thickBot="1" x14ac:dyDescent="0.3">
      <c r="A16" s="77" t="s">
        <v>11</v>
      </c>
      <c r="B16" s="75">
        <v>-0.4</v>
      </c>
      <c r="C16" s="75">
        <v>2028</v>
      </c>
      <c r="D16" s="75">
        <v>84527</v>
      </c>
    </row>
    <row r="17" spans="1:4" s="72" customFormat="1" ht="20.100000000000001" customHeight="1" thickBot="1" x14ac:dyDescent="0.3">
      <c r="A17" s="77" t="s">
        <v>11</v>
      </c>
      <c r="B17" s="75">
        <v>-0.4</v>
      </c>
      <c r="C17" s="75">
        <v>2029</v>
      </c>
      <c r="D17" s="75">
        <v>84176</v>
      </c>
    </row>
    <row r="18" spans="1:4" s="72" customFormat="1" ht="20.100000000000001" customHeight="1" thickBot="1" x14ac:dyDescent="0.3">
      <c r="A18" s="77" t="s">
        <v>11</v>
      </c>
      <c r="B18" s="75">
        <v>-0.4</v>
      </c>
      <c r="C18" s="75">
        <v>2030</v>
      </c>
      <c r="D18" s="75">
        <v>83826</v>
      </c>
    </row>
    <row r="19" spans="1:4" s="72" customFormat="1" ht="20.100000000000001" customHeight="1" thickBot="1" x14ac:dyDescent="0.3">
      <c r="A19" s="77" t="s">
        <v>11</v>
      </c>
      <c r="B19" s="75">
        <v>-0.4</v>
      </c>
      <c r="C19" s="75">
        <v>2031</v>
      </c>
      <c r="D19" s="75">
        <v>83478</v>
      </c>
    </row>
    <row r="20" spans="1:4" s="72" customFormat="1" ht="20.100000000000001" customHeight="1" thickBot="1" x14ac:dyDescent="0.3">
      <c r="A20" s="78" t="s">
        <v>37</v>
      </c>
      <c r="B20" s="75">
        <v>-2</v>
      </c>
      <c r="C20" s="75">
        <v>2026</v>
      </c>
      <c r="D20" s="75">
        <v>19472</v>
      </c>
    </row>
    <row r="21" spans="1:4" s="72" customFormat="1" ht="20.100000000000001" customHeight="1" thickBot="1" x14ac:dyDescent="0.3">
      <c r="A21" s="78" t="s">
        <v>37</v>
      </c>
      <c r="B21" s="75">
        <v>-2</v>
      </c>
      <c r="C21" s="75">
        <v>2027</v>
      </c>
      <c r="D21" s="75">
        <v>19085</v>
      </c>
    </row>
    <row r="22" spans="1:4" s="72" customFormat="1" ht="20.100000000000001" customHeight="1" thickBot="1" x14ac:dyDescent="0.3">
      <c r="A22" s="78" t="s">
        <v>37</v>
      </c>
      <c r="B22" s="75">
        <v>-2</v>
      </c>
      <c r="C22" s="75">
        <v>2028</v>
      </c>
      <c r="D22" s="75">
        <v>18706</v>
      </c>
    </row>
    <row r="23" spans="1:4" s="72" customFormat="1" ht="20.100000000000001" customHeight="1" thickBot="1" x14ac:dyDescent="0.3">
      <c r="A23" s="78" t="s">
        <v>37</v>
      </c>
      <c r="B23" s="75">
        <v>-2</v>
      </c>
      <c r="C23" s="75">
        <v>2029</v>
      </c>
      <c r="D23" s="75">
        <v>18334</v>
      </c>
    </row>
    <row r="24" spans="1:4" s="72" customFormat="1" ht="20.100000000000001" customHeight="1" thickBot="1" x14ac:dyDescent="0.3">
      <c r="A24" s="78" t="s">
        <v>37</v>
      </c>
      <c r="B24" s="75">
        <v>-2</v>
      </c>
      <c r="C24" s="75">
        <v>2030</v>
      </c>
      <c r="D24" s="75">
        <v>17970</v>
      </c>
    </row>
    <row r="25" spans="1:4" s="72" customFormat="1" ht="20.100000000000001" customHeight="1" thickBot="1" x14ac:dyDescent="0.3">
      <c r="A25" s="78" t="s">
        <v>37</v>
      </c>
      <c r="B25" s="75">
        <v>-2</v>
      </c>
      <c r="C25" s="75">
        <v>2031</v>
      </c>
      <c r="D25" s="75">
        <v>17613</v>
      </c>
    </row>
    <row r="26" spans="1:4" s="72" customFormat="1" ht="20.100000000000001" customHeight="1" thickBot="1" x14ac:dyDescent="0.3">
      <c r="A26" s="79" t="s">
        <v>10</v>
      </c>
      <c r="B26" s="75">
        <v>-1.4</v>
      </c>
      <c r="C26" s="75">
        <v>2026</v>
      </c>
      <c r="D26" s="75">
        <v>81895</v>
      </c>
    </row>
    <row r="27" spans="1:4" s="72" customFormat="1" ht="20.100000000000001" customHeight="1" thickBot="1" x14ac:dyDescent="0.3">
      <c r="A27" s="79" t="s">
        <v>10</v>
      </c>
      <c r="B27" s="75">
        <v>-1.4</v>
      </c>
      <c r="C27" s="75">
        <v>2027</v>
      </c>
      <c r="D27" s="75">
        <v>80711</v>
      </c>
    </row>
    <row r="28" spans="1:4" s="72" customFormat="1" ht="20.100000000000001" customHeight="1" thickBot="1" x14ac:dyDescent="0.3">
      <c r="A28" s="79" t="s">
        <v>10</v>
      </c>
      <c r="B28" s="75">
        <v>-1.4</v>
      </c>
      <c r="C28" s="75">
        <v>2028</v>
      </c>
      <c r="D28" s="75">
        <v>79545</v>
      </c>
    </row>
    <row r="29" spans="1:4" s="72" customFormat="1" ht="20.100000000000001" customHeight="1" thickBot="1" x14ac:dyDescent="0.3">
      <c r="A29" s="79" t="s">
        <v>10</v>
      </c>
      <c r="B29" s="75">
        <v>-1.4</v>
      </c>
      <c r="C29" s="75">
        <v>2029</v>
      </c>
      <c r="D29" s="75">
        <v>78396</v>
      </c>
    </row>
    <row r="30" spans="1:4" s="72" customFormat="1" ht="20.100000000000001" customHeight="1" thickBot="1" x14ac:dyDescent="0.3">
      <c r="A30" s="79" t="s">
        <v>10</v>
      </c>
      <c r="B30" s="75">
        <v>-1.4</v>
      </c>
      <c r="C30" s="75">
        <v>2030</v>
      </c>
      <c r="D30" s="75">
        <v>77263</v>
      </c>
    </row>
    <row r="31" spans="1:4" s="72" customFormat="1" ht="20.100000000000001" customHeight="1" thickBot="1" x14ac:dyDescent="0.3">
      <c r="A31" s="79" t="s">
        <v>10</v>
      </c>
      <c r="B31" s="75">
        <v>-1.4</v>
      </c>
      <c r="C31" s="75">
        <v>2031</v>
      </c>
      <c r="D31" s="75">
        <v>76147</v>
      </c>
    </row>
    <row r="32" spans="1:4" s="72" customFormat="1" ht="20.100000000000001" customHeight="1" thickBot="1" x14ac:dyDescent="0.3">
      <c r="A32" s="80" t="s">
        <v>15</v>
      </c>
      <c r="B32" s="75">
        <v>-1.5</v>
      </c>
      <c r="C32" s="75">
        <v>2026</v>
      </c>
      <c r="D32" s="75">
        <v>35505</v>
      </c>
    </row>
    <row r="33" spans="1:4" s="72" customFormat="1" ht="20.100000000000001" customHeight="1" thickBot="1" x14ac:dyDescent="0.3">
      <c r="A33" s="80" t="s">
        <v>15</v>
      </c>
      <c r="B33" s="75">
        <v>-1.5</v>
      </c>
      <c r="C33" s="75">
        <v>2027</v>
      </c>
      <c r="D33" s="75">
        <v>34965</v>
      </c>
    </row>
    <row r="34" spans="1:4" s="72" customFormat="1" ht="20.100000000000001" customHeight="1" thickBot="1" x14ac:dyDescent="0.3">
      <c r="A34" s="80" t="s">
        <v>15</v>
      </c>
      <c r="B34" s="75">
        <v>-1.5</v>
      </c>
      <c r="C34" s="75">
        <v>2028</v>
      </c>
      <c r="D34" s="75">
        <v>34434</v>
      </c>
    </row>
    <row r="35" spans="1:4" s="72" customFormat="1" ht="20.100000000000001" customHeight="1" thickBot="1" x14ac:dyDescent="0.3">
      <c r="A35" s="80" t="s">
        <v>15</v>
      </c>
      <c r="B35" s="75">
        <v>-1.5</v>
      </c>
      <c r="C35" s="75">
        <v>2029</v>
      </c>
      <c r="D35" s="75">
        <v>33910</v>
      </c>
    </row>
    <row r="36" spans="1:4" s="72" customFormat="1" ht="20.100000000000001" customHeight="1" thickBot="1" x14ac:dyDescent="0.3">
      <c r="A36" s="80" t="s">
        <v>15</v>
      </c>
      <c r="B36" s="75">
        <v>-1.5</v>
      </c>
      <c r="C36" s="75">
        <v>2030</v>
      </c>
      <c r="D36" s="75">
        <v>33395</v>
      </c>
    </row>
    <row r="37" spans="1:4" s="72" customFormat="1" ht="20.100000000000001" customHeight="1" thickBot="1" x14ac:dyDescent="0.3">
      <c r="A37" s="80" t="s">
        <v>15</v>
      </c>
      <c r="B37" s="75">
        <v>-1.5</v>
      </c>
      <c r="C37" s="75">
        <v>2031</v>
      </c>
      <c r="D37" s="75">
        <v>32887</v>
      </c>
    </row>
    <row r="38" spans="1:4" s="72" customFormat="1" ht="20.100000000000001" customHeight="1" thickBot="1" x14ac:dyDescent="0.3">
      <c r="A38" s="81" t="s">
        <v>13</v>
      </c>
      <c r="B38" s="75">
        <v>0.5</v>
      </c>
      <c r="C38" s="75">
        <v>2026</v>
      </c>
      <c r="D38" s="75">
        <v>59563</v>
      </c>
    </row>
    <row r="39" spans="1:4" s="72" customFormat="1" ht="20.100000000000001" customHeight="1" thickBot="1" x14ac:dyDescent="0.3">
      <c r="A39" s="81" t="s">
        <v>13</v>
      </c>
      <c r="B39" s="75">
        <v>0.5</v>
      </c>
      <c r="C39" s="75">
        <v>2027</v>
      </c>
      <c r="D39" s="75">
        <v>59871</v>
      </c>
    </row>
    <row r="40" spans="1:4" s="72" customFormat="1" ht="20.100000000000001" customHeight="1" thickBot="1" x14ac:dyDescent="0.3">
      <c r="A40" s="81" t="s">
        <v>13</v>
      </c>
      <c r="B40" s="75">
        <v>0.5</v>
      </c>
      <c r="C40" s="75">
        <v>2028</v>
      </c>
      <c r="D40" s="75">
        <v>60181</v>
      </c>
    </row>
    <row r="41" spans="1:4" s="72" customFormat="1" ht="20.100000000000001" customHeight="1" thickBot="1" x14ac:dyDescent="0.3">
      <c r="A41" s="81" t="s">
        <v>13</v>
      </c>
      <c r="B41" s="75">
        <v>0.5</v>
      </c>
      <c r="C41" s="75">
        <v>2029</v>
      </c>
      <c r="D41" s="75">
        <v>60492</v>
      </c>
    </row>
    <row r="42" spans="1:4" s="72" customFormat="1" ht="20.100000000000001" customHeight="1" thickBot="1" x14ac:dyDescent="0.3">
      <c r="A42" s="81" t="s">
        <v>13</v>
      </c>
      <c r="B42" s="75">
        <v>0.5</v>
      </c>
      <c r="C42" s="75">
        <v>2030</v>
      </c>
      <c r="D42" s="75">
        <v>60805</v>
      </c>
    </row>
    <row r="43" spans="1:4" s="72" customFormat="1" ht="20.100000000000001" customHeight="1" thickBot="1" x14ac:dyDescent="0.3">
      <c r="A43" s="81" t="s">
        <v>13</v>
      </c>
      <c r="B43" s="75">
        <v>0.5</v>
      </c>
      <c r="C43" s="75">
        <v>2031</v>
      </c>
      <c r="D43" s="75">
        <v>61120</v>
      </c>
    </row>
    <row r="44" spans="1:4" s="72" customFormat="1" ht="20.100000000000001" customHeight="1" thickBot="1" x14ac:dyDescent="0.3">
      <c r="A44" s="82" t="s">
        <v>12</v>
      </c>
      <c r="B44" s="75">
        <v>-1.6</v>
      </c>
      <c r="C44" s="75">
        <v>2026</v>
      </c>
      <c r="D44" s="75">
        <v>75599</v>
      </c>
    </row>
    <row r="45" spans="1:4" s="72" customFormat="1" ht="20.100000000000001" customHeight="1" thickBot="1" x14ac:dyDescent="0.3">
      <c r="A45" s="82" t="s">
        <v>12</v>
      </c>
      <c r="B45" s="75">
        <v>-1.6</v>
      </c>
      <c r="C45" s="75">
        <v>2027</v>
      </c>
      <c r="D45" s="75">
        <v>74426</v>
      </c>
    </row>
    <row r="46" spans="1:4" s="72" customFormat="1" ht="20.100000000000001" customHeight="1" thickBot="1" x14ac:dyDescent="0.3">
      <c r="A46" s="82" t="s">
        <v>12</v>
      </c>
      <c r="B46" s="75">
        <v>-1.6</v>
      </c>
      <c r="C46" s="75">
        <v>2028</v>
      </c>
      <c r="D46" s="75">
        <v>73272</v>
      </c>
    </row>
    <row r="47" spans="1:4" s="72" customFormat="1" ht="20.100000000000001" customHeight="1" thickBot="1" x14ac:dyDescent="0.3">
      <c r="A47" s="82" t="s">
        <v>12</v>
      </c>
      <c r="B47" s="75">
        <v>-1.6</v>
      </c>
      <c r="C47" s="75">
        <v>2029</v>
      </c>
      <c r="D47" s="75">
        <v>72135</v>
      </c>
    </row>
    <row r="48" spans="1:4" s="72" customFormat="1" ht="20.100000000000001" customHeight="1" thickBot="1" x14ac:dyDescent="0.3">
      <c r="A48" s="82" t="s">
        <v>12</v>
      </c>
      <c r="B48" s="75">
        <v>-1.6</v>
      </c>
      <c r="C48" s="75">
        <v>2030</v>
      </c>
      <c r="D48" s="75">
        <v>71016</v>
      </c>
    </row>
    <row r="49" spans="1:4" s="72" customFormat="1" ht="20.100000000000001" customHeight="1" thickBot="1" x14ac:dyDescent="0.3">
      <c r="A49" s="82" t="s">
        <v>12</v>
      </c>
      <c r="B49" s="75">
        <v>-1.6</v>
      </c>
      <c r="C49" s="75">
        <v>2031</v>
      </c>
      <c r="D49" s="75">
        <v>69915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66"/>
  </sheetPr>
  <dimension ref="A1:D11"/>
  <sheetViews>
    <sheetView workbookViewId="0">
      <selection activeCell="A3" sqref="A3"/>
    </sheetView>
  </sheetViews>
  <sheetFormatPr baseColWidth="10" defaultColWidth="9.140625" defaultRowHeight="15" x14ac:dyDescent="0.25"/>
  <cols>
    <col min="1" max="1" width="27.28515625" bestFit="1" customWidth="1"/>
    <col min="2" max="4" width="25.140625" customWidth="1"/>
  </cols>
  <sheetData>
    <row r="1" spans="1:4" ht="38.25" x14ac:dyDescent="0.25">
      <c r="A1" s="47" t="s">
        <v>299</v>
      </c>
      <c r="B1" s="47" t="s">
        <v>300</v>
      </c>
      <c r="C1" s="47" t="s">
        <v>301</v>
      </c>
      <c r="D1" s="47" t="s">
        <v>302</v>
      </c>
    </row>
    <row r="2" spans="1:4" x14ac:dyDescent="0.25">
      <c r="A2" s="65" t="s">
        <v>440</v>
      </c>
      <c r="B2" s="66">
        <v>3776</v>
      </c>
      <c r="C2" s="66">
        <v>34038457</v>
      </c>
      <c r="D2" s="66">
        <v>11</v>
      </c>
    </row>
    <row r="3" spans="1:4" x14ac:dyDescent="0.25">
      <c r="A3" s="67" t="s">
        <v>439</v>
      </c>
      <c r="B3" s="68">
        <v>119</v>
      </c>
      <c r="C3" s="68">
        <v>1044954</v>
      </c>
      <c r="D3" s="68">
        <v>11</v>
      </c>
    </row>
    <row r="4" spans="1:4" x14ac:dyDescent="0.25">
      <c r="A4" s="4" t="s">
        <v>9</v>
      </c>
      <c r="B4" s="54">
        <v>78</v>
      </c>
      <c r="C4" s="54">
        <v>630005</v>
      </c>
      <c r="D4" s="54">
        <v>12</v>
      </c>
    </row>
    <row r="5" spans="1:4" x14ac:dyDescent="0.25">
      <c r="A5" s="14" t="s">
        <v>14</v>
      </c>
      <c r="B5" s="6">
        <v>4</v>
      </c>
      <c r="C5" s="6">
        <v>57682</v>
      </c>
      <c r="D5" s="6">
        <v>4</v>
      </c>
    </row>
    <row r="6" spans="1:4" x14ac:dyDescent="0.25">
      <c r="A6" s="13" t="s">
        <v>11</v>
      </c>
      <c r="B6" s="54">
        <v>7</v>
      </c>
      <c r="C6" s="54">
        <v>85233</v>
      </c>
      <c r="D6" s="54">
        <v>7</v>
      </c>
    </row>
    <row r="7" spans="1:4" x14ac:dyDescent="0.25">
      <c r="A7" s="16" t="s">
        <v>16</v>
      </c>
      <c r="B7" s="6">
        <v>4</v>
      </c>
      <c r="C7" s="6">
        <v>19472</v>
      </c>
      <c r="D7" s="6">
        <v>4</v>
      </c>
    </row>
    <row r="8" spans="1:4" x14ac:dyDescent="0.25">
      <c r="A8" s="10" t="s">
        <v>10</v>
      </c>
      <c r="B8" s="54">
        <v>12</v>
      </c>
      <c r="C8" s="54">
        <v>81895</v>
      </c>
      <c r="D8" s="54">
        <v>12</v>
      </c>
    </row>
    <row r="9" spans="1:4" x14ac:dyDescent="0.25">
      <c r="A9" s="15" t="s">
        <v>15</v>
      </c>
      <c r="B9" s="6">
        <v>4</v>
      </c>
      <c r="C9" s="6">
        <v>35505</v>
      </c>
      <c r="D9" s="6">
        <v>4</v>
      </c>
    </row>
    <row r="10" spans="1:4" x14ac:dyDescent="0.25">
      <c r="A10" s="11" t="s">
        <v>13</v>
      </c>
      <c r="B10" s="54">
        <v>5</v>
      </c>
      <c r="C10" s="54">
        <v>59563</v>
      </c>
      <c r="D10" s="54">
        <v>5</v>
      </c>
    </row>
    <row r="11" spans="1:4" x14ac:dyDescent="0.25">
      <c r="A11" s="12" t="s">
        <v>303</v>
      </c>
      <c r="B11" s="6">
        <v>5</v>
      </c>
      <c r="C11" s="6">
        <v>75599</v>
      </c>
      <c r="D11" s="6">
        <v>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5" tint="0.39997558519241921"/>
  </sheetPr>
  <dimension ref="A1:B5"/>
  <sheetViews>
    <sheetView workbookViewId="0">
      <selection activeCell="N19" sqref="N19"/>
    </sheetView>
  </sheetViews>
  <sheetFormatPr baseColWidth="10" defaultColWidth="9.140625" defaultRowHeight="15" x14ac:dyDescent="0.25"/>
  <cols>
    <col min="1" max="1" width="10.7109375" customWidth="1"/>
  </cols>
  <sheetData>
    <row r="1" spans="1:2" x14ac:dyDescent="0.25">
      <c r="A1" s="47" t="s">
        <v>304</v>
      </c>
      <c r="B1" s="47" t="s">
        <v>305</v>
      </c>
    </row>
    <row r="2" spans="1:2" x14ac:dyDescent="0.25">
      <c r="A2" s="54" t="s">
        <v>426</v>
      </c>
      <c r="B2" s="54">
        <v>482</v>
      </c>
    </row>
    <row r="3" spans="1:2" ht="36" x14ac:dyDescent="0.25">
      <c r="A3" s="69" t="s">
        <v>427</v>
      </c>
      <c r="B3" s="6">
        <v>468</v>
      </c>
    </row>
    <row r="4" spans="1:2" x14ac:dyDescent="0.25">
      <c r="A4" s="54" t="s">
        <v>428</v>
      </c>
      <c r="B4" s="54">
        <v>121</v>
      </c>
    </row>
    <row r="5" spans="1:2" x14ac:dyDescent="0.25">
      <c r="A5" s="6" t="s">
        <v>429</v>
      </c>
      <c r="B5" s="6">
        <v>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2" tint="-0.249977111117893"/>
  </sheetPr>
  <dimension ref="A1:G107"/>
  <sheetViews>
    <sheetView workbookViewId="0">
      <selection activeCell="C92" sqref="C92"/>
    </sheetView>
  </sheetViews>
  <sheetFormatPr baseColWidth="10" defaultColWidth="9.140625" defaultRowHeight="15" x14ac:dyDescent="0.25"/>
  <cols>
    <col min="1" max="1" width="96.7109375" bestFit="1" customWidth="1"/>
    <col min="2" max="7" width="10.42578125" customWidth="1"/>
  </cols>
  <sheetData>
    <row r="1" spans="1:7" ht="25.5" x14ac:dyDescent="0.25">
      <c r="A1" s="47" t="s">
        <v>311</v>
      </c>
      <c r="B1" s="47" t="s">
        <v>306</v>
      </c>
      <c r="C1" s="47" t="s">
        <v>307</v>
      </c>
      <c r="D1" s="47" t="s">
        <v>308</v>
      </c>
      <c r="E1" s="47" t="s">
        <v>309</v>
      </c>
      <c r="F1" s="47" t="s">
        <v>310</v>
      </c>
      <c r="G1" s="47" t="s">
        <v>50</v>
      </c>
    </row>
    <row r="2" spans="1:7" x14ac:dyDescent="0.25">
      <c r="A2" s="54" t="s">
        <v>312</v>
      </c>
      <c r="B2" s="54">
        <v>0</v>
      </c>
      <c r="C2" s="54">
        <v>4</v>
      </c>
      <c r="D2" s="54">
        <v>0</v>
      </c>
      <c r="E2" s="54">
        <v>0</v>
      </c>
      <c r="F2" s="54">
        <v>0</v>
      </c>
      <c r="G2" s="54">
        <v>4</v>
      </c>
    </row>
    <row r="3" spans="1:7" x14ac:dyDescent="0.25">
      <c r="A3" s="6" t="s">
        <v>313</v>
      </c>
      <c r="B3" s="6">
        <v>0</v>
      </c>
      <c r="C3" s="6">
        <v>1</v>
      </c>
      <c r="D3" s="6">
        <v>0</v>
      </c>
      <c r="E3" s="6">
        <v>0</v>
      </c>
      <c r="F3" s="6">
        <v>0</v>
      </c>
      <c r="G3" s="6">
        <v>1</v>
      </c>
    </row>
    <row r="4" spans="1:7" x14ac:dyDescent="0.25">
      <c r="A4" s="54" t="s">
        <v>314</v>
      </c>
      <c r="B4" s="54">
        <v>0</v>
      </c>
      <c r="C4" s="54">
        <v>0</v>
      </c>
      <c r="D4" s="54">
        <v>0</v>
      </c>
      <c r="E4" s="54">
        <v>2</v>
      </c>
      <c r="F4" s="54">
        <v>0</v>
      </c>
      <c r="G4" s="54">
        <v>2</v>
      </c>
    </row>
    <row r="5" spans="1:7" x14ac:dyDescent="0.25">
      <c r="A5" s="6" t="s">
        <v>315</v>
      </c>
      <c r="B5" s="6">
        <v>0</v>
      </c>
      <c r="C5" s="6">
        <v>1</v>
      </c>
      <c r="D5" s="6">
        <v>0</v>
      </c>
      <c r="E5" s="6">
        <v>0</v>
      </c>
      <c r="F5" s="6">
        <v>0</v>
      </c>
      <c r="G5" s="6">
        <v>1</v>
      </c>
    </row>
    <row r="6" spans="1:7" x14ac:dyDescent="0.25">
      <c r="A6" s="54" t="s">
        <v>316</v>
      </c>
      <c r="B6" s="54">
        <v>0</v>
      </c>
      <c r="C6" s="54">
        <v>1</v>
      </c>
      <c r="D6" s="54">
        <v>0</v>
      </c>
      <c r="E6" s="54">
        <v>0</v>
      </c>
      <c r="F6" s="54">
        <v>0</v>
      </c>
      <c r="G6" s="54">
        <v>1</v>
      </c>
    </row>
    <row r="7" spans="1:7" x14ac:dyDescent="0.25">
      <c r="A7" s="54" t="s">
        <v>317</v>
      </c>
      <c r="B7" s="54">
        <v>0</v>
      </c>
      <c r="C7" s="54">
        <v>0</v>
      </c>
      <c r="D7" s="54">
        <v>0</v>
      </c>
      <c r="E7" s="54">
        <v>7</v>
      </c>
      <c r="F7" s="54">
        <v>0</v>
      </c>
      <c r="G7" s="54">
        <v>7</v>
      </c>
    </row>
    <row r="8" spans="1:7" x14ac:dyDescent="0.25">
      <c r="A8" s="6" t="s">
        <v>318</v>
      </c>
      <c r="B8" s="6">
        <v>0</v>
      </c>
      <c r="C8" s="6">
        <v>0</v>
      </c>
      <c r="D8" s="6">
        <v>0</v>
      </c>
      <c r="E8" s="6">
        <v>1</v>
      </c>
      <c r="F8" s="6">
        <v>1</v>
      </c>
      <c r="G8" s="6">
        <v>2</v>
      </c>
    </row>
    <row r="9" spans="1:7" x14ac:dyDescent="0.25">
      <c r="A9" s="54" t="s">
        <v>319</v>
      </c>
      <c r="B9" s="54">
        <v>0</v>
      </c>
      <c r="C9" s="54">
        <v>0</v>
      </c>
      <c r="D9" s="54">
        <v>0</v>
      </c>
      <c r="E9" s="54">
        <v>2</v>
      </c>
      <c r="F9" s="54">
        <v>0</v>
      </c>
      <c r="G9" s="54">
        <v>2</v>
      </c>
    </row>
    <row r="10" spans="1:7" x14ac:dyDescent="0.25">
      <c r="A10" s="6" t="s">
        <v>320</v>
      </c>
      <c r="B10" s="6">
        <v>0</v>
      </c>
      <c r="C10" s="6">
        <v>0</v>
      </c>
      <c r="D10" s="6">
        <v>0</v>
      </c>
      <c r="E10" s="6">
        <v>1</v>
      </c>
      <c r="F10" s="6">
        <v>0</v>
      </c>
      <c r="G10" s="6">
        <v>1</v>
      </c>
    </row>
    <row r="11" spans="1:7" x14ac:dyDescent="0.25">
      <c r="A11" s="54" t="s">
        <v>321</v>
      </c>
      <c r="B11" s="54">
        <v>0</v>
      </c>
      <c r="C11" s="54">
        <v>0</v>
      </c>
      <c r="D11" s="54">
        <v>0</v>
      </c>
      <c r="E11" s="54">
        <v>1</v>
      </c>
      <c r="F11" s="54">
        <v>0</v>
      </c>
      <c r="G11" s="54">
        <v>1</v>
      </c>
    </row>
    <row r="12" spans="1:7" x14ac:dyDescent="0.25">
      <c r="A12" s="54" t="s">
        <v>322</v>
      </c>
      <c r="B12" s="54">
        <v>0</v>
      </c>
      <c r="C12" s="54">
        <v>1</v>
      </c>
      <c r="D12" s="54">
        <v>0</v>
      </c>
      <c r="E12" s="54">
        <v>0</v>
      </c>
      <c r="F12" s="54">
        <v>1</v>
      </c>
      <c r="G12" s="54">
        <v>2</v>
      </c>
    </row>
    <row r="13" spans="1:7" x14ac:dyDescent="0.25">
      <c r="A13" s="6" t="s">
        <v>323</v>
      </c>
      <c r="B13" s="6">
        <v>0</v>
      </c>
      <c r="C13" s="6">
        <v>7</v>
      </c>
      <c r="D13" s="6">
        <v>0</v>
      </c>
      <c r="E13" s="6">
        <v>0</v>
      </c>
      <c r="F13" s="6">
        <v>0</v>
      </c>
      <c r="G13" s="6">
        <v>7</v>
      </c>
    </row>
    <row r="14" spans="1:7" x14ac:dyDescent="0.25">
      <c r="A14" s="54" t="s">
        <v>324</v>
      </c>
      <c r="B14" s="54">
        <v>0</v>
      </c>
      <c r="C14" s="54">
        <v>0</v>
      </c>
      <c r="D14" s="54">
        <v>0</v>
      </c>
      <c r="E14" s="54">
        <v>3</v>
      </c>
      <c r="F14" s="54">
        <v>1</v>
      </c>
      <c r="G14" s="54">
        <v>4</v>
      </c>
    </row>
    <row r="15" spans="1:7" x14ac:dyDescent="0.25">
      <c r="A15" s="6" t="s">
        <v>325</v>
      </c>
      <c r="B15" s="6">
        <v>0</v>
      </c>
      <c r="C15" s="6">
        <v>0</v>
      </c>
      <c r="D15" s="6">
        <v>0</v>
      </c>
      <c r="E15" s="6">
        <v>0</v>
      </c>
      <c r="F15" s="6">
        <v>1</v>
      </c>
      <c r="G15" s="6">
        <v>1</v>
      </c>
    </row>
    <row r="16" spans="1:7" x14ac:dyDescent="0.25">
      <c r="A16" s="54" t="s">
        <v>326</v>
      </c>
      <c r="B16" s="54">
        <v>0</v>
      </c>
      <c r="C16" s="54">
        <v>0</v>
      </c>
      <c r="D16" s="54">
        <v>0</v>
      </c>
      <c r="E16" s="54">
        <v>0</v>
      </c>
      <c r="F16" s="54">
        <v>1</v>
      </c>
      <c r="G16" s="54">
        <v>1</v>
      </c>
    </row>
    <row r="17" spans="1:7" x14ac:dyDescent="0.25">
      <c r="A17" s="54" t="s">
        <v>327</v>
      </c>
      <c r="B17" s="54">
        <v>0</v>
      </c>
      <c r="C17" s="54">
        <v>0</v>
      </c>
      <c r="D17" s="54">
        <v>0</v>
      </c>
      <c r="E17" s="54">
        <v>0</v>
      </c>
      <c r="F17" s="54">
        <v>3</v>
      </c>
      <c r="G17" s="54">
        <v>3</v>
      </c>
    </row>
    <row r="18" spans="1:7" x14ac:dyDescent="0.25">
      <c r="A18" s="6" t="s">
        <v>328</v>
      </c>
      <c r="B18" s="6">
        <v>0</v>
      </c>
      <c r="C18" s="6">
        <v>0</v>
      </c>
      <c r="D18" s="6">
        <v>0</v>
      </c>
      <c r="E18" s="6">
        <v>1</v>
      </c>
      <c r="F18" s="6">
        <v>0</v>
      </c>
      <c r="G18" s="6">
        <v>1</v>
      </c>
    </row>
    <row r="19" spans="1:7" x14ac:dyDescent="0.25">
      <c r="A19" s="54" t="s">
        <v>329</v>
      </c>
      <c r="B19" s="54">
        <v>0</v>
      </c>
      <c r="C19" s="54">
        <v>0</v>
      </c>
      <c r="D19" s="54">
        <v>0</v>
      </c>
      <c r="E19" s="54">
        <v>0</v>
      </c>
      <c r="F19" s="54">
        <v>1</v>
      </c>
      <c r="G19" s="54">
        <v>1</v>
      </c>
    </row>
    <row r="20" spans="1:7" x14ac:dyDescent="0.25">
      <c r="A20" s="6" t="s">
        <v>330</v>
      </c>
      <c r="B20" s="6">
        <v>0</v>
      </c>
      <c r="C20" s="6">
        <v>0</v>
      </c>
      <c r="D20" s="6">
        <v>0</v>
      </c>
      <c r="E20" s="6">
        <v>0</v>
      </c>
      <c r="F20" s="6">
        <v>3</v>
      </c>
      <c r="G20" s="6">
        <v>3</v>
      </c>
    </row>
    <row r="21" spans="1:7" x14ac:dyDescent="0.25">
      <c r="A21" s="54" t="s">
        <v>331</v>
      </c>
      <c r="B21" s="54">
        <v>0</v>
      </c>
      <c r="C21" s="54">
        <v>0</v>
      </c>
      <c r="D21" s="54">
        <v>0</v>
      </c>
      <c r="E21" s="54">
        <v>0</v>
      </c>
      <c r="F21" s="54">
        <v>1</v>
      </c>
      <c r="G21" s="54">
        <v>1</v>
      </c>
    </row>
    <row r="22" spans="1:7" x14ac:dyDescent="0.25">
      <c r="A22" s="54" t="s">
        <v>332</v>
      </c>
      <c r="B22" s="54">
        <v>0</v>
      </c>
      <c r="C22" s="54">
        <v>0</v>
      </c>
      <c r="D22" s="54">
        <v>0</v>
      </c>
      <c r="E22" s="54">
        <v>0</v>
      </c>
      <c r="F22" s="54">
        <v>1</v>
      </c>
      <c r="G22" s="54">
        <v>1</v>
      </c>
    </row>
    <row r="23" spans="1:7" x14ac:dyDescent="0.25">
      <c r="A23" s="6" t="s">
        <v>333</v>
      </c>
      <c r="B23" s="6">
        <v>0</v>
      </c>
      <c r="C23" s="6">
        <v>0</v>
      </c>
      <c r="D23" s="6">
        <v>0</v>
      </c>
      <c r="E23" s="6">
        <v>1</v>
      </c>
      <c r="F23" s="6">
        <v>1</v>
      </c>
      <c r="G23" s="6">
        <v>2</v>
      </c>
    </row>
    <row r="24" spans="1:7" x14ac:dyDescent="0.25">
      <c r="A24" s="54" t="s">
        <v>334</v>
      </c>
      <c r="B24" s="54">
        <v>0</v>
      </c>
      <c r="C24" s="54">
        <v>0</v>
      </c>
      <c r="D24" s="54">
        <v>0</v>
      </c>
      <c r="E24" s="54">
        <v>0</v>
      </c>
      <c r="F24" s="54">
        <v>2</v>
      </c>
      <c r="G24" s="54">
        <v>2</v>
      </c>
    </row>
    <row r="25" spans="1:7" x14ac:dyDescent="0.25">
      <c r="A25" s="6" t="s">
        <v>335</v>
      </c>
      <c r="B25" s="6">
        <v>0</v>
      </c>
      <c r="C25" s="6">
        <v>1</v>
      </c>
      <c r="D25" s="6">
        <v>0</v>
      </c>
      <c r="E25" s="6">
        <v>0</v>
      </c>
      <c r="F25" s="6">
        <v>0</v>
      </c>
      <c r="G25" s="6">
        <v>1</v>
      </c>
    </row>
    <row r="26" spans="1:7" x14ac:dyDescent="0.25">
      <c r="A26" s="54" t="s">
        <v>336</v>
      </c>
      <c r="B26" s="54">
        <v>0</v>
      </c>
      <c r="C26" s="54">
        <v>0</v>
      </c>
      <c r="D26" s="54">
        <v>0</v>
      </c>
      <c r="E26" s="54">
        <v>6</v>
      </c>
      <c r="F26" s="54">
        <v>1</v>
      </c>
      <c r="G26" s="54">
        <v>7</v>
      </c>
    </row>
    <row r="27" spans="1:7" x14ac:dyDescent="0.25">
      <c r="A27" s="54" t="s">
        <v>337</v>
      </c>
      <c r="B27" s="54">
        <v>0</v>
      </c>
      <c r="C27" s="54">
        <v>14</v>
      </c>
      <c r="D27" s="54">
        <v>0</v>
      </c>
      <c r="E27" s="54">
        <v>4</v>
      </c>
      <c r="F27" s="54">
        <v>0</v>
      </c>
      <c r="G27" s="54">
        <v>18</v>
      </c>
    </row>
    <row r="28" spans="1:7" x14ac:dyDescent="0.25">
      <c r="A28" s="6" t="s">
        <v>338</v>
      </c>
      <c r="B28" s="6">
        <v>0</v>
      </c>
      <c r="C28" s="6">
        <v>0</v>
      </c>
      <c r="D28" s="6">
        <v>0</v>
      </c>
      <c r="E28" s="6">
        <v>4</v>
      </c>
      <c r="F28" s="6">
        <v>0</v>
      </c>
      <c r="G28" s="6">
        <v>4</v>
      </c>
    </row>
    <row r="29" spans="1:7" x14ac:dyDescent="0.25">
      <c r="A29" s="54" t="s">
        <v>339</v>
      </c>
      <c r="B29" s="54">
        <v>0</v>
      </c>
      <c r="C29" s="54">
        <v>18</v>
      </c>
      <c r="D29" s="54">
        <v>0</v>
      </c>
      <c r="E29" s="54">
        <v>1</v>
      </c>
      <c r="F29" s="54">
        <v>0</v>
      </c>
      <c r="G29" s="54">
        <v>19</v>
      </c>
    </row>
    <row r="30" spans="1:7" x14ac:dyDescent="0.25">
      <c r="A30" s="6" t="s">
        <v>340</v>
      </c>
      <c r="B30" s="6">
        <v>0</v>
      </c>
      <c r="C30" s="6">
        <v>0</v>
      </c>
      <c r="D30" s="6">
        <v>0</v>
      </c>
      <c r="E30" s="6">
        <v>1</v>
      </c>
      <c r="F30" s="6">
        <v>0</v>
      </c>
      <c r="G30" s="6">
        <v>1</v>
      </c>
    </row>
    <row r="31" spans="1:7" x14ac:dyDescent="0.25">
      <c r="A31" s="54" t="s">
        <v>341</v>
      </c>
      <c r="B31" s="54">
        <v>0</v>
      </c>
      <c r="C31" s="54">
        <v>0</v>
      </c>
      <c r="D31" s="54">
        <v>0</v>
      </c>
      <c r="E31" s="54">
        <v>4</v>
      </c>
      <c r="F31" s="54">
        <v>0</v>
      </c>
      <c r="G31" s="54">
        <v>4</v>
      </c>
    </row>
    <row r="32" spans="1:7" x14ac:dyDescent="0.25">
      <c r="A32" s="54" t="s">
        <v>342</v>
      </c>
      <c r="B32" s="54">
        <v>0</v>
      </c>
      <c r="C32" s="54">
        <v>0</v>
      </c>
      <c r="D32" s="54">
        <v>0</v>
      </c>
      <c r="E32" s="54">
        <v>15</v>
      </c>
      <c r="F32" s="54">
        <v>2</v>
      </c>
      <c r="G32" s="54">
        <v>17</v>
      </c>
    </row>
    <row r="33" spans="1:7" x14ac:dyDescent="0.25">
      <c r="A33" s="6" t="s">
        <v>343</v>
      </c>
      <c r="B33" s="6">
        <v>0</v>
      </c>
      <c r="C33" s="6">
        <v>0</v>
      </c>
      <c r="D33" s="6">
        <v>0</v>
      </c>
      <c r="E33" s="6">
        <v>2</v>
      </c>
      <c r="F33" s="6">
        <v>1</v>
      </c>
      <c r="G33" s="6">
        <v>3</v>
      </c>
    </row>
    <row r="34" spans="1:7" x14ac:dyDescent="0.25">
      <c r="A34" s="54" t="s">
        <v>344</v>
      </c>
      <c r="B34" s="54">
        <v>0</v>
      </c>
      <c r="C34" s="54">
        <v>0</v>
      </c>
      <c r="D34" s="54">
        <v>0</v>
      </c>
      <c r="E34" s="54">
        <v>4</v>
      </c>
      <c r="F34" s="54">
        <v>0</v>
      </c>
      <c r="G34" s="54">
        <v>4</v>
      </c>
    </row>
    <row r="35" spans="1:7" x14ac:dyDescent="0.25">
      <c r="A35" s="6" t="s">
        <v>345</v>
      </c>
      <c r="B35" s="6">
        <v>0</v>
      </c>
      <c r="C35" s="6">
        <v>0</v>
      </c>
      <c r="D35" s="6">
        <v>0</v>
      </c>
      <c r="E35" s="6">
        <v>4</v>
      </c>
      <c r="F35" s="6">
        <v>0</v>
      </c>
      <c r="G35" s="6">
        <v>4</v>
      </c>
    </row>
    <row r="36" spans="1:7" x14ac:dyDescent="0.25">
      <c r="A36" s="54" t="s">
        <v>346</v>
      </c>
      <c r="B36" s="54">
        <v>0</v>
      </c>
      <c r="C36" s="54">
        <v>2</v>
      </c>
      <c r="D36" s="54">
        <v>0</v>
      </c>
      <c r="E36" s="54">
        <v>1</v>
      </c>
      <c r="F36" s="54">
        <v>0</v>
      </c>
      <c r="G36" s="54">
        <v>3</v>
      </c>
    </row>
    <row r="37" spans="1:7" x14ac:dyDescent="0.25">
      <c r="A37" s="54" t="s">
        <v>347</v>
      </c>
      <c r="B37" s="54">
        <v>0</v>
      </c>
      <c r="C37" s="54">
        <v>0</v>
      </c>
      <c r="D37" s="54">
        <v>0</v>
      </c>
      <c r="E37" s="54">
        <v>0</v>
      </c>
      <c r="F37" s="54">
        <v>1</v>
      </c>
      <c r="G37" s="54">
        <v>1</v>
      </c>
    </row>
    <row r="38" spans="1:7" x14ac:dyDescent="0.25">
      <c r="A38" s="6" t="s">
        <v>348</v>
      </c>
      <c r="B38" s="6">
        <v>0</v>
      </c>
      <c r="C38" s="6">
        <v>5</v>
      </c>
      <c r="D38" s="6">
        <v>0</v>
      </c>
      <c r="E38" s="6">
        <v>1</v>
      </c>
      <c r="F38" s="6">
        <v>0</v>
      </c>
      <c r="G38" s="6">
        <v>6</v>
      </c>
    </row>
    <row r="39" spans="1:7" x14ac:dyDescent="0.25">
      <c r="A39" s="54" t="s">
        <v>349</v>
      </c>
      <c r="B39" s="54">
        <v>0</v>
      </c>
      <c r="C39" s="54">
        <v>13</v>
      </c>
      <c r="D39" s="54">
        <v>0</v>
      </c>
      <c r="E39" s="54">
        <v>0</v>
      </c>
      <c r="F39" s="54">
        <v>0</v>
      </c>
      <c r="G39" s="54">
        <v>13</v>
      </c>
    </row>
    <row r="40" spans="1:7" x14ac:dyDescent="0.25">
      <c r="A40" s="6" t="s">
        <v>350</v>
      </c>
      <c r="B40" s="6">
        <v>0</v>
      </c>
      <c r="C40" s="6">
        <v>0</v>
      </c>
      <c r="D40" s="6">
        <v>0</v>
      </c>
      <c r="E40" s="6">
        <v>3</v>
      </c>
      <c r="F40" s="6">
        <v>0</v>
      </c>
      <c r="G40" s="6">
        <v>3</v>
      </c>
    </row>
    <row r="41" spans="1:7" x14ac:dyDescent="0.25">
      <c r="A41" s="54" t="s">
        <v>351</v>
      </c>
      <c r="B41" s="54">
        <v>0</v>
      </c>
      <c r="C41" s="54">
        <v>55</v>
      </c>
      <c r="D41" s="54">
        <v>0</v>
      </c>
      <c r="E41" s="54">
        <v>20</v>
      </c>
      <c r="F41" s="54">
        <v>2</v>
      </c>
      <c r="G41" s="54">
        <v>77</v>
      </c>
    </row>
    <row r="42" spans="1:7" x14ac:dyDescent="0.25">
      <c r="A42" s="54" t="s">
        <v>352</v>
      </c>
      <c r="B42" s="54">
        <v>0</v>
      </c>
      <c r="C42" s="54">
        <v>0</v>
      </c>
      <c r="D42" s="54">
        <v>0</v>
      </c>
      <c r="E42" s="54">
        <v>6</v>
      </c>
      <c r="F42" s="54">
        <v>0</v>
      </c>
      <c r="G42" s="54">
        <v>6</v>
      </c>
    </row>
    <row r="43" spans="1:7" x14ac:dyDescent="0.25">
      <c r="A43" s="6" t="s">
        <v>353</v>
      </c>
      <c r="B43" s="6">
        <v>0</v>
      </c>
      <c r="C43" s="6">
        <v>0</v>
      </c>
      <c r="D43" s="6">
        <v>0</v>
      </c>
      <c r="E43" s="6">
        <v>11</v>
      </c>
      <c r="F43" s="6">
        <v>0</v>
      </c>
      <c r="G43" s="6">
        <v>11</v>
      </c>
    </row>
    <row r="44" spans="1:7" x14ac:dyDescent="0.25">
      <c r="A44" s="54" t="s">
        <v>354</v>
      </c>
      <c r="B44" s="54">
        <v>0</v>
      </c>
      <c r="C44" s="54">
        <v>13</v>
      </c>
      <c r="D44" s="54">
        <v>0</v>
      </c>
      <c r="E44" s="54">
        <v>20</v>
      </c>
      <c r="F44" s="54">
        <v>2</v>
      </c>
      <c r="G44" s="54">
        <v>35</v>
      </c>
    </row>
    <row r="45" spans="1:7" x14ac:dyDescent="0.25">
      <c r="A45" s="6" t="s">
        <v>355</v>
      </c>
      <c r="B45" s="6">
        <v>0</v>
      </c>
      <c r="C45" s="6">
        <v>3</v>
      </c>
      <c r="D45" s="6">
        <v>0</v>
      </c>
      <c r="E45" s="6">
        <v>0</v>
      </c>
      <c r="F45" s="6">
        <v>0</v>
      </c>
      <c r="G45" s="6">
        <v>3</v>
      </c>
    </row>
    <row r="46" spans="1:7" x14ac:dyDescent="0.25">
      <c r="A46" s="54" t="s">
        <v>356</v>
      </c>
      <c r="B46" s="54">
        <v>0</v>
      </c>
      <c r="C46" s="54">
        <v>0</v>
      </c>
      <c r="D46" s="54">
        <v>0</v>
      </c>
      <c r="E46" s="54">
        <v>22</v>
      </c>
      <c r="F46" s="54">
        <v>12</v>
      </c>
      <c r="G46" s="54">
        <v>34</v>
      </c>
    </row>
    <row r="47" spans="1:7" x14ac:dyDescent="0.25">
      <c r="A47" s="54" t="s">
        <v>357</v>
      </c>
      <c r="B47" s="54">
        <v>0</v>
      </c>
      <c r="C47" s="54">
        <v>0</v>
      </c>
      <c r="D47" s="54">
        <v>0</v>
      </c>
      <c r="E47" s="54">
        <v>0</v>
      </c>
      <c r="F47" s="54">
        <v>2</v>
      </c>
      <c r="G47" s="54">
        <v>2</v>
      </c>
    </row>
    <row r="48" spans="1:7" x14ac:dyDescent="0.25">
      <c r="A48" s="6" t="s">
        <v>358</v>
      </c>
      <c r="B48" s="6">
        <v>0</v>
      </c>
      <c r="C48" s="6">
        <v>0</v>
      </c>
      <c r="D48" s="6">
        <v>0</v>
      </c>
      <c r="E48" s="6">
        <v>9</v>
      </c>
      <c r="F48" s="6">
        <v>0</v>
      </c>
      <c r="G48" s="6">
        <v>9</v>
      </c>
    </row>
    <row r="49" spans="1:7" x14ac:dyDescent="0.25">
      <c r="A49" s="54" t="s">
        <v>359</v>
      </c>
      <c r="B49" s="54">
        <v>0</v>
      </c>
      <c r="C49" s="54">
        <v>0</v>
      </c>
      <c r="D49" s="54">
        <v>0</v>
      </c>
      <c r="E49" s="54">
        <v>1</v>
      </c>
      <c r="F49" s="54">
        <v>0</v>
      </c>
      <c r="G49" s="54">
        <v>1</v>
      </c>
    </row>
    <row r="50" spans="1:7" x14ac:dyDescent="0.25">
      <c r="A50" s="6" t="s">
        <v>360</v>
      </c>
      <c r="B50" s="6">
        <v>0</v>
      </c>
      <c r="C50" s="6">
        <v>0</v>
      </c>
      <c r="D50" s="6">
        <v>0</v>
      </c>
      <c r="E50" s="6">
        <v>2</v>
      </c>
      <c r="F50" s="6">
        <v>1</v>
      </c>
      <c r="G50" s="6">
        <v>3</v>
      </c>
    </row>
    <row r="51" spans="1:7" x14ac:dyDescent="0.25">
      <c r="A51" s="54" t="s">
        <v>361</v>
      </c>
      <c r="B51" s="54">
        <v>0</v>
      </c>
      <c r="C51" s="54">
        <v>0</v>
      </c>
      <c r="D51" s="54">
        <v>0</v>
      </c>
      <c r="E51" s="54">
        <v>3</v>
      </c>
      <c r="F51" s="54">
        <v>0</v>
      </c>
      <c r="G51" s="54">
        <v>3</v>
      </c>
    </row>
    <row r="52" spans="1:7" x14ac:dyDescent="0.25">
      <c r="A52" s="54" t="s">
        <v>362</v>
      </c>
      <c r="B52" s="54">
        <v>0</v>
      </c>
      <c r="C52" s="54">
        <v>44</v>
      </c>
      <c r="D52" s="54">
        <v>0</v>
      </c>
      <c r="E52" s="54">
        <v>0</v>
      </c>
      <c r="F52" s="54">
        <v>0</v>
      </c>
      <c r="G52" s="54">
        <v>44</v>
      </c>
    </row>
    <row r="53" spans="1:7" x14ac:dyDescent="0.25">
      <c r="A53" s="6" t="s">
        <v>363</v>
      </c>
      <c r="B53" s="6">
        <v>0</v>
      </c>
      <c r="C53" s="6">
        <v>6</v>
      </c>
      <c r="D53" s="6">
        <v>0</v>
      </c>
      <c r="E53" s="6">
        <v>0</v>
      </c>
      <c r="F53" s="6">
        <v>0</v>
      </c>
      <c r="G53" s="6">
        <v>6</v>
      </c>
    </row>
    <row r="54" spans="1:7" x14ac:dyDescent="0.25">
      <c r="A54" s="54" t="s">
        <v>364</v>
      </c>
      <c r="B54" s="54">
        <v>0</v>
      </c>
      <c r="C54" s="54">
        <v>0</v>
      </c>
      <c r="D54" s="54">
        <v>0</v>
      </c>
      <c r="E54" s="54">
        <v>6</v>
      </c>
      <c r="F54" s="54">
        <v>0</v>
      </c>
      <c r="G54" s="54">
        <v>6</v>
      </c>
    </row>
    <row r="55" spans="1:7" x14ac:dyDescent="0.25">
      <c r="A55" s="6" t="s">
        <v>365</v>
      </c>
      <c r="B55" s="6">
        <v>0</v>
      </c>
      <c r="C55" s="6">
        <v>37</v>
      </c>
      <c r="D55" s="6">
        <v>0</v>
      </c>
      <c r="E55" s="6">
        <v>10</v>
      </c>
      <c r="F55" s="6">
        <v>0</v>
      </c>
      <c r="G55" s="6">
        <v>47</v>
      </c>
    </row>
    <row r="56" spans="1:7" x14ac:dyDescent="0.25">
      <c r="A56" s="54" t="s">
        <v>366</v>
      </c>
      <c r="B56" s="54">
        <v>0</v>
      </c>
      <c r="C56" s="54">
        <v>0</v>
      </c>
      <c r="D56" s="54">
        <v>0</v>
      </c>
      <c r="E56" s="54">
        <v>5</v>
      </c>
      <c r="F56" s="54">
        <v>0</v>
      </c>
      <c r="G56" s="54">
        <v>5</v>
      </c>
    </row>
    <row r="57" spans="1:7" x14ac:dyDescent="0.25">
      <c r="A57" s="54" t="s">
        <v>367</v>
      </c>
      <c r="B57" s="54">
        <v>0</v>
      </c>
      <c r="C57" s="54">
        <v>0</v>
      </c>
      <c r="D57" s="54">
        <v>1</v>
      </c>
      <c r="E57" s="54">
        <v>0</v>
      </c>
      <c r="F57" s="54">
        <v>0</v>
      </c>
      <c r="G57" s="54">
        <v>1</v>
      </c>
    </row>
    <row r="58" spans="1:7" x14ac:dyDescent="0.25">
      <c r="A58" s="6" t="s">
        <v>368</v>
      </c>
      <c r="B58" s="6">
        <v>0</v>
      </c>
      <c r="C58" s="6">
        <v>0</v>
      </c>
      <c r="D58" s="6">
        <v>0</v>
      </c>
      <c r="E58" s="6">
        <v>0</v>
      </c>
      <c r="F58" s="6">
        <v>1</v>
      </c>
      <c r="G58" s="6">
        <v>1</v>
      </c>
    </row>
    <row r="59" spans="1:7" x14ac:dyDescent="0.25">
      <c r="A59" s="54" t="s">
        <v>369</v>
      </c>
      <c r="B59" s="54">
        <v>0</v>
      </c>
      <c r="C59" s="54">
        <v>0</v>
      </c>
      <c r="D59" s="54">
        <v>0</v>
      </c>
      <c r="E59" s="54">
        <v>1</v>
      </c>
      <c r="F59" s="54">
        <v>0</v>
      </c>
      <c r="G59" s="54">
        <v>1</v>
      </c>
    </row>
    <row r="60" spans="1:7" x14ac:dyDescent="0.25">
      <c r="A60" s="6" t="s">
        <v>370</v>
      </c>
      <c r="B60" s="6">
        <v>0</v>
      </c>
      <c r="C60" s="6">
        <v>1</v>
      </c>
      <c r="D60" s="6">
        <v>0</v>
      </c>
      <c r="E60" s="6">
        <v>0</v>
      </c>
      <c r="F60" s="6">
        <v>0</v>
      </c>
      <c r="G60" s="6">
        <v>1</v>
      </c>
    </row>
    <row r="61" spans="1:7" x14ac:dyDescent="0.25">
      <c r="A61" s="54" t="s">
        <v>371</v>
      </c>
      <c r="B61" s="54">
        <v>0</v>
      </c>
      <c r="C61" s="54">
        <v>0</v>
      </c>
      <c r="D61" s="54">
        <v>0</v>
      </c>
      <c r="E61" s="54">
        <v>2</v>
      </c>
      <c r="F61" s="54">
        <v>1</v>
      </c>
      <c r="G61" s="54">
        <v>3</v>
      </c>
    </row>
    <row r="62" spans="1:7" x14ac:dyDescent="0.25">
      <c r="A62" s="54" t="s">
        <v>372</v>
      </c>
      <c r="B62" s="54">
        <v>0</v>
      </c>
      <c r="C62" s="54">
        <v>3</v>
      </c>
      <c r="D62" s="54">
        <v>0</v>
      </c>
      <c r="E62" s="54">
        <v>0</v>
      </c>
      <c r="F62" s="54">
        <v>0</v>
      </c>
      <c r="G62" s="54">
        <v>3</v>
      </c>
    </row>
    <row r="63" spans="1:7" x14ac:dyDescent="0.25">
      <c r="A63" s="6" t="s">
        <v>373</v>
      </c>
      <c r="B63" s="6">
        <v>0</v>
      </c>
      <c r="C63" s="6">
        <v>0</v>
      </c>
      <c r="D63" s="6">
        <v>0</v>
      </c>
      <c r="E63" s="6">
        <v>1</v>
      </c>
      <c r="F63" s="6">
        <v>4</v>
      </c>
      <c r="G63" s="6">
        <v>5</v>
      </c>
    </row>
    <row r="64" spans="1:7" x14ac:dyDescent="0.25">
      <c r="A64" s="54" t="s">
        <v>374</v>
      </c>
      <c r="B64" s="54">
        <v>0</v>
      </c>
      <c r="C64" s="54">
        <v>0</v>
      </c>
      <c r="D64" s="54">
        <v>0</v>
      </c>
      <c r="E64" s="54">
        <v>1</v>
      </c>
      <c r="F64" s="54">
        <v>0</v>
      </c>
      <c r="G64" s="54">
        <v>1</v>
      </c>
    </row>
    <row r="65" spans="1:7" x14ac:dyDescent="0.25">
      <c r="A65" s="6" t="s">
        <v>375</v>
      </c>
      <c r="B65" s="6">
        <v>0</v>
      </c>
      <c r="C65" s="6">
        <v>16</v>
      </c>
      <c r="D65" s="6">
        <v>0</v>
      </c>
      <c r="E65" s="6">
        <v>0</v>
      </c>
      <c r="F65" s="6">
        <v>0</v>
      </c>
      <c r="G65" s="6">
        <v>16</v>
      </c>
    </row>
    <row r="66" spans="1:7" x14ac:dyDescent="0.25">
      <c r="A66" s="54" t="s">
        <v>376</v>
      </c>
      <c r="B66" s="54">
        <v>0</v>
      </c>
      <c r="C66" s="54">
        <v>0</v>
      </c>
      <c r="D66" s="54">
        <v>0</v>
      </c>
      <c r="E66" s="54">
        <v>3</v>
      </c>
      <c r="F66" s="54">
        <v>0</v>
      </c>
      <c r="G66" s="54">
        <v>3</v>
      </c>
    </row>
    <row r="67" spans="1:7" x14ac:dyDescent="0.25">
      <c r="A67" s="54" t="s">
        <v>377</v>
      </c>
      <c r="B67" s="54">
        <v>0</v>
      </c>
      <c r="C67" s="54">
        <v>0</v>
      </c>
      <c r="D67" s="54">
        <v>0</v>
      </c>
      <c r="E67" s="54">
        <v>2</v>
      </c>
      <c r="F67" s="54">
        <v>0</v>
      </c>
      <c r="G67" s="54">
        <v>2</v>
      </c>
    </row>
    <row r="68" spans="1:7" x14ac:dyDescent="0.25">
      <c r="A68" s="6" t="s">
        <v>378</v>
      </c>
      <c r="B68" s="6">
        <v>0</v>
      </c>
      <c r="C68" s="6">
        <v>0</v>
      </c>
      <c r="D68" s="6">
        <v>0</v>
      </c>
      <c r="E68" s="6">
        <v>0</v>
      </c>
      <c r="F68" s="6">
        <v>1</v>
      </c>
      <c r="G68" s="6">
        <v>1</v>
      </c>
    </row>
    <row r="69" spans="1:7" x14ac:dyDescent="0.25">
      <c r="A69" s="54" t="s">
        <v>379</v>
      </c>
      <c r="B69" s="54">
        <v>0</v>
      </c>
      <c r="C69" s="54">
        <v>0</v>
      </c>
      <c r="D69" s="54">
        <v>0</v>
      </c>
      <c r="E69" s="54">
        <v>0</v>
      </c>
      <c r="F69" s="54">
        <v>1</v>
      </c>
      <c r="G69" s="54">
        <v>1</v>
      </c>
    </row>
    <row r="70" spans="1:7" x14ac:dyDescent="0.25">
      <c r="A70" s="6" t="s">
        <v>380</v>
      </c>
      <c r="B70" s="6">
        <v>0</v>
      </c>
      <c r="C70" s="6">
        <v>19</v>
      </c>
      <c r="D70" s="6">
        <v>0</v>
      </c>
      <c r="E70" s="6">
        <v>16</v>
      </c>
      <c r="F70" s="6">
        <v>11</v>
      </c>
      <c r="G70" s="6">
        <v>46</v>
      </c>
    </row>
    <row r="71" spans="1:7" x14ac:dyDescent="0.25">
      <c r="A71" s="54" t="s">
        <v>381</v>
      </c>
      <c r="B71" s="54">
        <v>0</v>
      </c>
      <c r="C71" s="54">
        <v>30</v>
      </c>
      <c r="D71" s="54">
        <v>0</v>
      </c>
      <c r="E71" s="54">
        <v>46</v>
      </c>
      <c r="F71" s="54">
        <v>24</v>
      </c>
      <c r="G71" s="54">
        <v>100</v>
      </c>
    </row>
    <row r="72" spans="1:7" x14ac:dyDescent="0.25">
      <c r="A72" s="54" t="s">
        <v>382</v>
      </c>
      <c r="B72" s="54">
        <v>0</v>
      </c>
      <c r="C72" s="54">
        <v>4</v>
      </c>
      <c r="D72" s="54">
        <v>0</v>
      </c>
      <c r="E72" s="54">
        <v>1</v>
      </c>
      <c r="F72" s="54">
        <v>0</v>
      </c>
      <c r="G72" s="54">
        <v>5</v>
      </c>
    </row>
    <row r="73" spans="1:7" x14ac:dyDescent="0.25">
      <c r="A73" s="6" t="s">
        <v>383</v>
      </c>
      <c r="B73" s="6">
        <v>0</v>
      </c>
      <c r="C73" s="6">
        <v>0</v>
      </c>
      <c r="D73" s="6">
        <v>0</v>
      </c>
      <c r="E73" s="6">
        <v>11</v>
      </c>
      <c r="F73" s="6">
        <v>0</v>
      </c>
      <c r="G73" s="6">
        <v>11</v>
      </c>
    </row>
    <row r="74" spans="1:7" x14ac:dyDescent="0.25">
      <c r="A74" s="54" t="s">
        <v>384</v>
      </c>
      <c r="B74" s="54">
        <v>0</v>
      </c>
      <c r="C74" s="54">
        <v>0</v>
      </c>
      <c r="D74" s="54">
        <v>0</v>
      </c>
      <c r="E74" s="54">
        <v>2</v>
      </c>
      <c r="F74" s="54">
        <v>0</v>
      </c>
      <c r="G74" s="54">
        <v>2</v>
      </c>
    </row>
    <row r="75" spans="1:7" x14ac:dyDescent="0.25">
      <c r="A75" s="6" t="s">
        <v>385</v>
      </c>
      <c r="B75" s="6">
        <v>0</v>
      </c>
      <c r="C75" s="6">
        <v>0</v>
      </c>
      <c r="D75" s="6">
        <v>0</v>
      </c>
      <c r="E75" s="6">
        <v>3</v>
      </c>
      <c r="F75" s="6">
        <v>0</v>
      </c>
      <c r="G75" s="6">
        <v>3</v>
      </c>
    </row>
    <row r="76" spans="1:7" x14ac:dyDescent="0.25">
      <c r="A76" s="54" t="s">
        <v>386</v>
      </c>
      <c r="B76" s="54">
        <v>0</v>
      </c>
      <c r="C76" s="54">
        <v>0</v>
      </c>
      <c r="D76" s="54">
        <v>0</v>
      </c>
      <c r="E76" s="54">
        <v>3</v>
      </c>
      <c r="F76" s="54">
        <v>0</v>
      </c>
      <c r="G76" s="54">
        <v>3</v>
      </c>
    </row>
    <row r="77" spans="1:7" x14ac:dyDescent="0.25">
      <c r="A77" s="54" t="s">
        <v>387</v>
      </c>
      <c r="B77" s="54">
        <v>0</v>
      </c>
      <c r="C77" s="54">
        <v>3</v>
      </c>
      <c r="D77" s="54">
        <v>0</v>
      </c>
      <c r="E77" s="54">
        <v>0</v>
      </c>
      <c r="F77" s="54">
        <v>0</v>
      </c>
      <c r="G77" s="54">
        <v>3</v>
      </c>
    </row>
    <row r="78" spans="1:7" x14ac:dyDescent="0.25">
      <c r="A78" s="6" t="s">
        <v>388</v>
      </c>
      <c r="B78" s="6">
        <v>0</v>
      </c>
      <c r="C78" s="6">
        <v>0</v>
      </c>
      <c r="D78" s="6">
        <v>0</v>
      </c>
      <c r="E78" s="6">
        <v>2</v>
      </c>
      <c r="F78" s="6">
        <v>0</v>
      </c>
      <c r="G78" s="6">
        <v>2</v>
      </c>
    </row>
    <row r="79" spans="1:7" x14ac:dyDescent="0.25">
      <c r="A79" s="54" t="s">
        <v>389</v>
      </c>
      <c r="B79" s="54">
        <v>20</v>
      </c>
      <c r="C79" s="54">
        <v>0</v>
      </c>
      <c r="D79" s="54">
        <v>0</v>
      </c>
      <c r="E79" s="54">
        <v>0</v>
      </c>
      <c r="F79" s="54">
        <v>0</v>
      </c>
      <c r="G79" s="54">
        <v>20</v>
      </c>
    </row>
    <row r="80" spans="1:7" x14ac:dyDescent="0.25">
      <c r="A80" s="6" t="s">
        <v>390</v>
      </c>
      <c r="B80" s="6">
        <v>72</v>
      </c>
      <c r="C80" s="6">
        <v>0</v>
      </c>
      <c r="D80" s="6">
        <v>0</v>
      </c>
      <c r="E80" s="6">
        <v>0</v>
      </c>
      <c r="F80" s="6">
        <v>0</v>
      </c>
      <c r="G80" s="6">
        <v>72</v>
      </c>
    </row>
    <row r="81" spans="1:7" x14ac:dyDescent="0.25">
      <c r="A81" s="54" t="s">
        <v>391</v>
      </c>
      <c r="B81" s="54">
        <v>6</v>
      </c>
      <c r="C81" s="54">
        <v>0</v>
      </c>
      <c r="D81" s="54">
        <v>0</v>
      </c>
      <c r="E81" s="54">
        <v>0</v>
      </c>
      <c r="F81" s="54">
        <v>0</v>
      </c>
      <c r="G81" s="54">
        <v>6</v>
      </c>
    </row>
    <row r="82" spans="1:7" x14ac:dyDescent="0.25">
      <c r="A82" s="54" t="s">
        <v>392</v>
      </c>
      <c r="B82" s="54">
        <v>22</v>
      </c>
      <c r="C82" s="54">
        <v>0</v>
      </c>
      <c r="D82" s="54">
        <v>0</v>
      </c>
      <c r="E82" s="54">
        <v>0</v>
      </c>
      <c r="F82" s="54">
        <v>0</v>
      </c>
      <c r="G82" s="54">
        <v>22</v>
      </c>
    </row>
    <row r="83" spans="1:7" x14ac:dyDescent="0.25">
      <c r="A83" s="6" t="s">
        <v>393</v>
      </c>
      <c r="B83" s="6">
        <v>0</v>
      </c>
      <c r="C83" s="6">
        <v>0</v>
      </c>
      <c r="D83" s="6">
        <v>0</v>
      </c>
      <c r="E83" s="6">
        <v>0</v>
      </c>
      <c r="F83" s="6">
        <v>2</v>
      </c>
      <c r="G83" s="6">
        <v>2</v>
      </c>
    </row>
    <row r="84" spans="1:7" x14ac:dyDescent="0.25">
      <c r="A84" s="54" t="s">
        <v>394</v>
      </c>
      <c r="B84" s="54">
        <v>0</v>
      </c>
      <c r="C84" s="54">
        <v>0</v>
      </c>
      <c r="D84" s="54">
        <v>0</v>
      </c>
      <c r="E84" s="54">
        <v>0</v>
      </c>
      <c r="F84" s="54">
        <v>1</v>
      </c>
      <c r="G84" s="54">
        <v>1</v>
      </c>
    </row>
    <row r="85" spans="1:7" x14ac:dyDescent="0.25">
      <c r="A85" s="6" t="s">
        <v>395</v>
      </c>
      <c r="B85" s="6">
        <v>0</v>
      </c>
      <c r="C85" s="6">
        <v>0</v>
      </c>
      <c r="D85" s="6">
        <v>0</v>
      </c>
      <c r="E85" s="6">
        <v>6</v>
      </c>
      <c r="F85" s="6">
        <v>3</v>
      </c>
      <c r="G85" s="6">
        <v>9</v>
      </c>
    </row>
    <row r="86" spans="1:7" x14ac:dyDescent="0.25">
      <c r="A86" s="54" t="s">
        <v>396</v>
      </c>
      <c r="B86" s="54">
        <v>0</v>
      </c>
      <c r="C86" s="54">
        <v>2</v>
      </c>
      <c r="D86" s="54">
        <v>0</v>
      </c>
      <c r="E86" s="54">
        <v>2</v>
      </c>
      <c r="F86" s="54">
        <v>0</v>
      </c>
      <c r="G86" s="54">
        <v>4</v>
      </c>
    </row>
    <row r="87" spans="1:7" x14ac:dyDescent="0.25">
      <c r="A87" s="54" t="s">
        <v>397</v>
      </c>
      <c r="B87" s="54">
        <v>0</v>
      </c>
      <c r="C87" s="54">
        <v>0</v>
      </c>
      <c r="D87" s="54">
        <v>0</v>
      </c>
      <c r="E87" s="54">
        <v>6</v>
      </c>
      <c r="F87" s="54">
        <v>0</v>
      </c>
      <c r="G87" s="54">
        <v>6</v>
      </c>
    </row>
    <row r="88" spans="1:7" x14ac:dyDescent="0.25">
      <c r="A88" s="6" t="s">
        <v>398</v>
      </c>
      <c r="B88" s="6">
        <v>1</v>
      </c>
      <c r="C88" s="6">
        <v>0</v>
      </c>
      <c r="D88" s="6">
        <v>0</v>
      </c>
      <c r="E88" s="6">
        <v>0</v>
      </c>
      <c r="F88" s="6">
        <v>0</v>
      </c>
      <c r="G88" s="6">
        <v>1</v>
      </c>
    </row>
    <row r="89" spans="1:7" x14ac:dyDescent="0.25">
      <c r="A89" s="54" t="s">
        <v>399</v>
      </c>
      <c r="B89" s="54">
        <v>0</v>
      </c>
      <c r="C89" s="54">
        <v>0</v>
      </c>
      <c r="D89" s="54">
        <v>0</v>
      </c>
      <c r="E89" s="54">
        <v>2</v>
      </c>
      <c r="F89" s="54">
        <v>0</v>
      </c>
      <c r="G89" s="54">
        <v>2</v>
      </c>
    </row>
    <row r="90" spans="1:7" x14ac:dyDescent="0.25">
      <c r="A90" s="6" t="s">
        <v>400</v>
      </c>
      <c r="B90" s="6">
        <v>0</v>
      </c>
      <c r="C90" s="6">
        <v>0</v>
      </c>
      <c r="D90" s="6">
        <v>0</v>
      </c>
      <c r="E90" s="6">
        <v>1</v>
      </c>
      <c r="F90" s="6">
        <v>0</v>
      </c>
      <c r="G90" s="6">
        <v>1</v>
      </c>
    </row>
    <row r="91" spans="1:7" x14ac:dyDescent="0.25">
      <c r="A91" s="54" t="s">
        <v>401</v>
      </c>
      <c r="B91" s="54">
        <v>0</v>
      </c>
      <c r="C91" s="54">
        <v>5</v>
      </c>
      <c r="D91" s="54">
        <v>0</v>
      </c>
      <c r="E91" s="54">
        <v>5</v>
      </c>
      <c r="F91" s="54">
        <v>4</v>
      </c>
      <c r="G91" s="54">
        <v>14</v>
      </c>
    </row>
    <row r="92" spans="1:7" x14ac:dyDescent="0.25">
      <c r="A92" s="54" t="s">
        <v>402</v>
      </c>
      <c r="B92" s="54">
        <v>0</v>
      </c>
      <c r="C92" s="54">
        <v>4</v>
      </c>
      <c r="D92" s="54">
        <v>0</v>
      </c>
      <c r="E92" s="54">
        <v>0</v>
      </c>
      <c r="F92" s="54">
        <v>0</v>
      </c>
      <c r="G92" s="54">
        <v>4</v>
      </c>
    </row>
    <row r="93" spans="1:7" x14ac:dyDescent="0.25">
      <c r="A93" s="6" t="s">
        <v>403</v>
      </c>
      <c r="B93" s="6">
        <v>0</v>
      </c>
      <c r="C93" s="6">
        <v>0</v>
      </c>
      <c r="D93" s="6">
        <v>0</v>
      </c>
      <c r="E93" s="6">
        <v>6</v>
      </c>
      <c r="F93" s="6">
        <v>36</v>
      </c>
      <c r="G93" s="6">
        <v>42</v>
      </c>
    </row>
    <row r="94" spans="1:7" x14ac:dyDescent="0.25">
      <c r="A94" s="54" t="s">
        <v>404</v>
      </c>
      <c r="B94" s="54">
        <v>0</v>
      </c>
      <c r="C94" s="54">
        <v>1</v>
      </c>
      <c r="D94" s="54">
        <v>0</v>
      </c>
      <c r="E94" s="54">
        <v>0</v>
      </c>
      <c r="F94" s="54">
        <v>0</v>
      </c>
      <c r="G94" s="54">
        <v>1</v>
      </c>
    </row>
    <row r="95" spans="1:7" x14ac:dyDescent="0.25">
      <c r="A95" s="6" t="s">
        <v>405</v>
      </c>
      <c r="B95" s="6">
        <v>0</v>
      </c>
      <c r="C95" s="6">
        <v>4</v>
      </c>
      <c r="D95" s="6">
        <v>0</v>
      </c>
      <c r="E95" s="6">
        <v>0</v>
      </c>
      <c r="F95" s="6">
        <v>0</v>
      </c>
      <c r="G95" s="6">
        <v>4</v>
      </c>
    </row>
    <row r="96" spans="1:7" x14ac:dyDescent="0.25">
      <c r="A96" s="54" t="s">
        <v>406</v>
      </c>
      <c r="B96" s="54">
        <v>0</v>
      </c>
      <c r="C96" s="54">
        <v>1</v>
      </c>
      <c r="D96" s="54">
        <v>0</v>
      </c>
      <c r="E96" s="54">
        <v>0</v>
      </c>
      <c r="F96" s="54">
        <v>0</v>
      </c>
      <c r="G96" s="54">
        <v>1</v>
      </c>
    </row>
    <row r="97" spans="1:7" x14ac:dyDescent="0.25">
      <c r="A97" s="54" t="s">
        <v>407</v>
      </c>
      <c r="B97" s="54">
        <v>0</v>
      </c>
      <c r="C97" s="54">
        <v>127</v>
      </c>
      <c r="D97" s="54">
        <v>0</v>
      </c>
      <c r="E97" s="54">
        <v>4</v>
      </c>
      <c r="F97" s="54">
        <v>4</v>
      </c>
      <c r="G97" s="54">
        <v>135</v>
      </c>
    </row>
    <row r="98" spans="1:7" x14ac:dyDescent="0.25">
      <c r="A98" s="6" t="s">
        <v>408</v>
      </c>
      <c r="B98" s="6">
        <v>0</v>
      </c>
      <c r="C98" s="6">
        <v>0</v>
      </c>
      <c r="D98" s="6">
        <v>1</v>
      </c>
      <c r="E98" s="6">
        <v>0</v>
      </c>
      <c r="F98" s="6">
        <v>0</v>
      </c>
      <c r="G98" s="6">
        <v>1</v>
      </c>
    </row>
    <row r="99" spans="1:7" x14ac:dyDescent="0.25">
      <c r="A99" s="54" t="s">
        <v>409</v>
      </c>
      <c r="B99" s="54">
        <v>0</v>
      </c>
      <c r="C99" s="54">
        <v>0</v>
      </c>
      <c r="D99" s="54">
        <v>0</v>
      </c>
      <c r="E99" s="54">
        <v>7</v>
      </c>
      <c r="F99" s="54">
        <v>0</v>
      </c>
      <c r="G99" s="54">
        <v>7</v>
      </c>
    </row>
    <row r="100" spans="1:7" x14ac:dyDescent="0.25">
      <c r="A100" s="6" t="s">
        <v>410</v>
      </c>
      <c r="B100" s="6">
        <v>0</v>
      </c>
      <c r="C100" s="6">
        <v>0</v>
      </c>
      <c r="D100" s="6">
        <v>0</v>
      </c>
      <c r="E100" s="6">
        <v>11</v>
      </c>
      <c r="F100" s="6">
        <v>0</v>
      </c>
      <c r="G100" s="6">
        <v>11</v>
      </c>
    </row>
    <row r="101" spans="1:7" x14ac:dyDescent="0.25">
      <c r="A101" s="54" t="s">
        <v>411</v>
      </c>
      <c r="B101" s="54">
        <v>0</v>
      </c>
      <c r="C101" s="54">
        <v>0</v>
      </c>
      <c r="D101" s="54">
        <v>0</v>
      </c>
      <c r="E101" s="54">
        <v>1</v>
      </c>
      <c r="F101" s="54">
        <v>0</v>
      </c>
      <c r="G101" s="54">
        <v>1</v>
      </c>
    </row>
    <row r="102" spans="1:7" x14ac:dyDescent="0.25">
      <c r="A102" s="54" t="s">
        <v>412</v>
      </c>
      <c r="B102" s="54">
        <v>0</v>
      </c>
      <c r="C102" s="54">
        <v>1</v>
      </c>
      <c r="D102" s="54">
        <v>0</v>
      </c>
      <c r="E102" s="54">
        <v>0</v>
      </c>
      <c r="F102" s="54">
        <v>0</v>
      </c>
      <c r="G102" s="54">
        <v>1</v>
      </c>
    </row>
    <row r="103" spans="1:7" x14ac:dyDescent="0.25">
      <c r="A103" s="6" t="s">
        <v>413</v>
      </c>
      <c r="B103" s="6">
        <v>0</v>
      </c>
      <c r="C103" s="6">
        <v>1</v>
      </c>
      <c r="D103" s="6">
        <v>0</v>
      </c>
      <c r="E103" s="6">
        <v>1</v>
      </c>
      <c r="F103" s="6">
        <v>0</v>
      </c>
      <c r="G103" s="6">
        <v>2</v>
      </c>
    </row>
    <row r="104" spans="1:7" x14ac:dyDescent="0.25">
      <c r="A104" s="54" t="s">
        <v>414</v>
      </c>
      <c r="B104" s="54">
        <v>0</v>
      </c>
      <c r="C104" s="54">
        <v>26</v>
      </c>
      <c r="D104" s="54">
        <v>0</v>
      </c>
      <c r="E104" s="54">
        <v>0</v>
      </c>
      <c r="F104" s="54">
        <v>0</v>
      </c>
      <c r="G104" s="54">
        <v>26</v>
      </c>
    </row>
    <row r="105" spans="1:7" x14ac:dyDescent="0.25">
      <c r="A105" s="6" t="s">
        <v>415</v>
      </c>
      <c r="B105" s="6">
        <v>0</v>
      </c>
      <c r="C105" s="6">
        <v>0</v>
      </c>
      <c r="D105" s="6">
        <v>1</v>
      </c>
      <c r="E105" s="6">
        <v>0</v>
      </c>
      <c r="F105" s="6">
        <v>0</v>
      </c>
      <c r="G105" s="6">
        <v>1</v>
      </c>
    </row>
    <row r="106" spans="1:7" x14ac:dyDescent="0.25">
      <c r="A106" s="54" t="s">
        <v>416</v>
      </c>
      <c r="B106" s="54">
        <v>0</v>
      </c>
      <c r="C106" s="54">
        <v>8</v>
      </c>
      <c r="D106" s="54">
        <v>0</v>
      </c>
      <c r="E106" s="54">
        <v>0</v>
      </c>
      <c r="F106" s="54">
        <v>0</v>
      </c>
      <c r="G106" s="54">
        <v>8</v>
      </c>
    </row>
    <row r="107" spans="1:7" x14ac:dyDescent="0.25">
      <c r="A107" s="54" t="s">
        <v>417</v>
      </c>
      <c r="B107" s="54">
        <v>0</v>
      </c>
      <c r="C107" s="54">
        <v>0</v>
      </c>
      <c r="D107" s="54">
        <v>0</v>
      </c>
      <c r="E107" s="54">
        <v>1</v>
      </c>
      <c r="F107" s="54">
        <v>3</v>
      </c>
      <c r="G107" s="54">
        <v>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0BCA8-270A-4001-8770-B0CC2AA33657}">
  <dimension ref="A1:K102"/>
  <sheetViews>
    <sheetView workbookViewId="0">
      <pane ySplit="1" topLeftCell="A2" activePane="bottomLeft" state="frozen"/>
      <selection activeCell="B22" sqref="B22"/>
      <selection pane="bottomLeft" activeCell="B22" sqref="B22"/>
    </sheetView>
  </sheetViews>
  <sheetFormatPr baseColWidth="10" defaultColWidth="9.140625" defaultRowHeight="15" x14ac:dyDescent="0.25"/>
  <cols>
    <col min="1" max="1" width="10" customWidth="1"/>
    <col min="2" max="2" width="55" customWidth="1"/>
    <col min="3" max="3" width="20.85546875" customWidth="1"/>
    <col min="4" max="4" width="15.5703125" customWidth="1"/>
    <col min="5" max="5" width="13.42578125" customWidth="1"/>
    <col min="6" max="7" width="14.5703125" customWidth="1"/>
    <col min="8" max="8" width="24" customWidth="1"/>
    <col min="9" max="9" width="26.140625" customWidth="1"/>
    <col min="10" max="10" width="23" customWidth="1"/>
    <col min="11" max="11" width="21.85546875" customWidth="1"/>
  </cols>
  <sheetData>
    <row r="1" spans="1:11" x14ac:dyDescent="0.25">
      <c r="A1" s="85" t="s">
        <v>569</v>
      </c>
      <c r="B1" s="85" t="s">
        <v>441</v>
      </c>
      <c r="C1" s="85" t="s">
        <v>570</v>
      </c>
      <c r="D1" s="85" t="s">
        <v>434</v>
      </c>
      <c r="E1" s="85" t="s">
        <v>297</v>
      </c>
      <c r="F1" s="85" t="s">
        <v>571</v>
      </c>
      <c r="G1" s="85" t="s">
        <v>572</v>
      </c>
      <c r="H1" s="85" t="s">
        <v>19</v>
      </c>
      <c r="I1" s="85" t="s">
        <v>573</v>
      </c>
      <c r="J1" s="85" t="s">
        <v>574</v>
      </c>
      <c r="K1" s="85" t="s">
        <v>575</v>
      </c>
    </row>
    <row r="2" spans="1:11" x14ac:dyDescent="0.25">
      <c r="A2" s="84" t="s">
        <v>576</v>
      </c>
      <c r="B2" s="84" t="s">
        <v>444</v>
      </c>
      <c r="C2" s="84" t="s">
        <v>467</v>
      </c>
      <c r="D2" s="84" t="s">
        <v>467</v>
      </c>
      <c r="E2" s="84" t="s">
        <v>445</v>
      </c>
      <c r="F2" s="84" t="s">
        <v>516</v>
      </c>
      <c r="G2" s="84" t="s">
        <v>577</v>
      </c>
      <c r="H2" s="84" t="s">
        <v>578</v>
      </c>
      <c r="I2" s="84" t="s">
        <v>579</v>
      </c>
      <c r="J2" s="84">
        <v>-12.059530555555559</v>
      </c>
      <c r="K2" s="84">
        <v>-74.888055555555567</v>
      </c>
    </row>
    <row r="3" spans="1:11" x14ac:dyDescent="0.25">
      <c r="A3" t="s">
        <v>580</v>
      </c>
      <c r="B3" t="s">
        <v>446</v>
      </c>
      <c r="C3" t="s">
        <v>467</v>
      </c>
      <c r="D3" t="s">
        <v>467</v>
      </c>
      <c r="E3" t="s">
        <v>445</v>
      </c>
      <c r="F3" t="s">
        <v>516</v>
      </c>
      <c r="G3" t="s">
        <v>577</v>
      </c>
      <c r="H3" t="s">
        <v>581</v>
      </c>
      <c r="I3" t="s">
        <v>579</v>
      </c>
      <c r="J3">
        <v>-12.059530555555559</v>
      </c>
      <c r="K3">
        <v>-74.888055555555567</v>
      </c>
    </row>
    <row r="4" spans="1:11" x14ac:dyDescent="0.25">
      <c r="A4" s="84" t="s">
        <v>582</v>
      </c>
      <c r="B4" s="84" t="s">
        <v>450</v>
      </c>
      <c r="C4" s="84" t="s">
        <v>467</v>
      </c>
      <c r="D4" s="84" t="s">
        <v>467</v>
      </c>
      <c r="E4" s="84" t="s">
        <v>445</v>
      </c>
      <c r="F4" s="84" t="s">
        <v>516</v>
      </c>
      <c r="G4" s="84" t="s">
        <v>577</v>
      </c>
      <c r="H4" s="84" t="s">
        <v>581</v>
      </c>
      <c r="I4" s="84" t="s">
        <v>579</v>
      </c>
      <c r="J4" s="84">
        <v>-12.059530555555559</v>
      </c>
      <c r="K4" s="84">
        <v>-74.888055555555567</v>
      </c>
    </row>
    <row r="5" spans="1:11" x14ac:dyDescent="0.25">
      <c r="A5" t="s">
        <v>583</v>
      </c>
      <c r="B5" t="s">
        <v>451</v>
      </c>
      <c r="C5" t="s">
        <v>467</v>
      </c>
      <c r="D5" t="s">
        <v>467</v>
      </c>
      <c r="E5" t="s">
        <v>445</v>
      </c>
      <c r="F5" t="s">
        <v>516</v>
      </c>
      <c r="G5" t="s">
        <v>584</v>
      </c>
      <c r="H5" t="s">
        <v>581</v>
      </c>
      <c r="I5" t="s">
        <v>579</v>
      </c>
      <c r="J5">
        <v>-12.059530555555559</v>
      </c>
      <c r="K5">
        <v>-74.888055555555567</v>
      </c>
    </row>
    <row r="6" spans="1:11" x14ac:dyDescent="0.25">
      <c r="A6" s="84" t="s">
        <v>585</v>
      </c>
      <c r="B6" s="84" t="s">
        <v>452</v>
      </c>
      <c r="C6" s="84" t="s">
        <v>467</v>
      </c>
      <c r="D6" s="84" t="s">
        <v>467</v>
      </c>
      <c r="E6" s="84" t="s">
        <v>445</v>
      </c>
      <c r="F6" s="84" t="s">
        <v>516</v>
      </c>
      <c r="G6" s="84" t="s">
        <v>577</v>
      </c>
      <c r="H6" s="84" t="s">
        <v>586</v>
      </c>
      <c r="I6" s="84" t="s">
        <v>579</v>
      </c>
      <c r="J6" s="84">
        <v>-12.059530555555559</v>
      </c>
      <c r="K6" s="84">
        <v>-74.888055555555567</v>
      </c>
    </row>
    <row r="7" spans="1:11" x14ac:dyDescent="0.25">
      <c r="A7" t="s">
        <v>587</v>
      </c>
      <c r="B7" t="s">
        <v>453</v>
      </c>
      <c r="C7" t="s">
        <v>467</v>
      </c>
      <c r="D7" t="s">
        <v>467</v>
      </c>
      <c r="E7" t="s">
        <v>445</v>
      </c>
      <c r="F7" t="s">
        <v>516</v>
      </c>
      <c r="G7" t="s">
        <v>577</v>
      </c>
      <c r="H7" t="s">
        <v>586</v>
      </c>
      <c r="I7" t="s">
        <v>579</v>
      </c>
      <c r="J7">
        <v>-12.059530555555559</v>
      </c>
      <c r="K7">
        <v>-74.888055555555567</v>
      </c>
    </row>
    <row r="8" spans="1:11" x14ac:dyDescent="0.25">
      <c r="A8" s="84" t="s">
        <v>588</v>
      </c>
      <c r="B8" s="84" t="s">
        <v>454</v>
      </c>
      <c r="C8" s="84" t="s">
        <v>467</v>
      </c>
      <c r="D8" s="84" t="s">
        <v>467</v>
      </c>
      <c r="E8" s="84" t="s">
        <v>445</v>
      </c>
      <c r="F8" s="84" t="s">
        <v>445</v>
      </c>
      <c r="G8" s="84" t="s">
        <v>577</v>
      </c>
      <c r="H8" s="84" t="s">
        <v>589</v>
      </c>
      <c r="I8" s="84" t="s">
        <v>590</v>
      </c>
      <c r="J8" s="84">
        <v>-12.06148055555556</v>
      </c>
      <c r="K8" s="84">
        <v>-75.200372222222228</v>
      </c>
    </row>
    <row r="9" spans="1:11" x14ac:dyDescent="0.25">
      <c r="A9" t="s">
        <v>591</v>
      </c>
      <c r="B9" t="s">
        <v>455</v>
      </c>
      <c r="C9" t="s">
        <v>467</v>
      </c>
      <c r="D9" t="s">
        <v>467</v>
      </c>
      <c r="E9" t="s">
        <v>445</v>
      </c>
      <c r="F9" t="s">
        <v>445</v>
      </c>
      <c r="G9" t="s">
        <v>577</v>
      </c>
      <c r="H9" t="s">
        <v>589</v>
      </c>
      <c r="I9" t="s">
        <v>590</v>
      </c>
      <c r="J9">
        <v>-12.06148055555556</v>
      </c>
      <c r="K9">
        <v>-75.200372222222228</v>
      </c>
    </row>
    <row r="10" spans="1:11" x14ac:dyDescent="0.25">
      <c r="A10" s="84" t="s">
        <v>592</v>
      </c>
      <c r="B10" s="84" t="s">
        <v>456</v>
      </c>
      <c r="C10" s="84" t="s">
        <v>467</v>
      </c>
      <c r="D10" s="84" t="s">
        <v>467</v>
      </c>
      <c r="E10" s="84" t="s">
        <v>445</v>
      </c>
      <c r="F10" s="84" t="s">
        <v>445</v>
      </c>
      <c r="G10" s="84" t="s">
        <v>577</v>
      </c>
      <c r="H10" s="84" t="s">
        <v>589</v>
      </c>
      <c r="I10" s="84" t="s">
        <v>590</v>
      </c>
      <c r="J10" s="84">
        <v>-12.06148055555556</v>
      </c>
      <c r="K10" s="84">
        <v>-75.200372222222228</v>
      </c>
    </row>
    <row r="11" spans="1:11" x14ac:dyDescent="0.25">
      <c r="A11" t="s">
        <v>593</v>
      </c>
      <c r="B11" t="s">
        <v>457</v>
      </c>
      <c r="C11" t="s">
        <v>467</v>
      </c>
      <c r="D11" t="s">
        <v>467</v>
      </c>
      <c r="E11" t="s">
        <v>445</v>
      </c>
      <c r="F11" t="s">
        <v>445</v>
      </c>
      <c r="G11" t="s">
        <v>577</v>
      </c>
      <c r="H11" t="s">
        <v>589</v>
      </c>
      <c r="I11" t="s">
        <v>590</v>
      </c>
      <c r="J11">
        <v>-12.06148055555556</v>
      </c>
      <c r="K11">
        <v>-75.200372222222228</v>
      </c>
    </row>
    <row r="12" spans="1:11" x14ac:dyDescent="0.25">
      <c r="A12" s="84" t="s">
        <v>594</v>
      </c>
      <c r="B12" s="84" t="s">
        <v>458</v>
      </c>
      <c r="C12" s="84" t="s">
        <v>467</v>
      </c>
      <c r="D12" s="84" t="s">
        <v>467</v>
      </c>
      <c r="E12" s="84" t="s">
        <v>445</v>
      </c>
      <c r="F12" s="84" t="s">
        <v>445</v>
      </c>
      <c r="G12" s="84" t="s">
        <v>577</v>
      </c>
      <c r="H12" s="84" t="s">
        <v>589</v>
      </c>
      <c r="I12" s="84" t="s">
        <v>590</v>
      </c>
      <c r="J12" s="84">
        <v>-12.06148055555556</v>
      </c>
      <c r="K12" s="84">
        <v>-75.200372222222228</v>
      </c>
    </row>
    <row r="13" spans="1:11" x14ac:dyDescent="0.25">
      <c r="A13" t="s">
        <v>595</v>
      </c>
      <c r="B13" t="s">
        <v>459</v>
      </c>
      <c r="C13" t="s">
        <v>467</v>
      </c>
      <c r="D13" t="s">
        <v>467</v>
      </c>
      <c r="E13" t="s">
        <v>445</v>
      </c>
      <c r="F13" t="s">
        <v>445</v>
      </c>
      <c r="G13" t="s">
        <v>577</v>
      </c>
      <c r="H13" t="s">
        <v>596</v>
      </c>
      <c r="I13" t="s">
        <v>590</v>
      </c>
      <c r="J13">
        <v>-12.06148055555556</v>
      </c>
      <c r="K13">
        <v>-75.200372222222228</v>
      </c>
    </row>
    <row r="14" spans="1:11" x14ac:dyDescent="0.25">
      <c r="A14" s="84" t="s">
        <v>597</v>
      </c>
      <c r="B14" s="84" t="s">
        <v>460</v>
      </c>
      <c r="C14" s="84" t="s">
        <v>467</v>
      </c>
      <c r="D14" s="84" t="s">
        <v>467</v>
      </c>
      <c r="E14" s="84" t="s">
        <v>445</v>
      </c>
      <c r="F14" s="84" t="s">
        <v>445</v>
      </c>
      <c r="G14" s="84" t="s">
        <v>577</v>
      </c>
      <c r="H14" s="84" t="s">
        <v>598</v>
      </c>
      <c r="I14" s="84" t="s">
        <v>590</v>
      </c>
      <c r="J14" s="84">
        <v>-12.06148055555556</v>
      </c>
      <c r="K14" s="84">
        <v>-75.200372222222228</v>
      </c>
    </row>
    <row r="15" spans="1:11" x14ac:dyDescent="0.25">
      <c r="A15" t="s">
        <v>599</v>
      </c>
      <c r="B15" t="s">
        <v>461</v>
      </c>
      <c r="C15" t="s">
        <v>467</v>
      </c>
      <c r="D15" t="s">
        <v>467</v>
      </c>
      <c r="E15" t="s">
        <v>445</v>
      </c>
      <c r="F15" t="s">
        <v>445</v>
      </c>
      <c r="G15" t="s">
        <v>577</v>
      </c>
      <c r="H15" t="s">
        <v>581</v>
      </c>
      <c r="I15" t="s">
        <v>590</v>
      </c>
      <c r="J15">
        <v>-12.06148055555556</v>
      </c>
      <c r="K15">
        <v>-75.200372222222228</v>
      </c>
    </row>
    <row r="16" spans="1:11" x14ac:dyDescent="0.25">
      <c r="A16" s="84" t="s">
        <v>600</v>
      </c>
      <c r="B16" s="84" t="s">
        <v>463</v>
      </c>
      <c r="C16" s="84" t="s">
        <v>467</v>
      </c>
      <c r="D16" s="84" t="s">
        <v>467</v>
      </c>
      <c r="E16" s="84" t="s">
        <v>445</v>
      </c>
      <c r="F16" s="84" t="s">
        <v>516</v>
      </c>
      <c r="G16" s="84" t="s">
        <v>584</v>
      </c>
      <c r="H16" s="84" t="s">
        <v>581</v>
      </c>
      <c r="I16" s="84" t="s">
        <v>590</v>
      </c>
      <c r="J16" s="84">
        <v>-12.059261111111111</v>
      </c>
      <c r="K16" s="84">
        <v>-75.215338888888894</v>
      </c>
    </row>
    <row r="17" spans="1:11" x14ac:dyDescent="0.25">
      <c r="A17" t="s">
        <v>601</v>
      </c>
      <c r="B17" t="s">
        <v>464</v>
      </c>
      <c r="C17" t="s">
        <v>467</v>
      </c>
      <c r="D17" t="s">
        <v>467</v>
      </c>
      <c r="E17" t="s">
        <v>445</v>
      </c>
      <c r="F17" t="s">
        <v>516</v>
      </c>
      <c r="G17" t="s">
        <v>584</v>
      </c>
      <c r="H17" t="s">
        <v>581</v>
      </c>
      <c r="I17" t="s">
        <v>590</v>
      </c>
      <c r="J17">
        <v>-13.059261111111111</v>
      </c>
      <c r="K17">
        <v>-76.215338888888894</v>
      </c>
    </row>
    <row r="18" spans="1:11" x14ac:dyDescent="0.25">
      <c r="A18" s="84" t="s">
        <v>602</v>
      </c>
      <c r="B18" s="84" t="s">
        <v>465</v>
      </c>
      <c r="C18" s="84" t="s">
        <v>467</v>
      </c>
      <c r="D18" s="84" t="s">
        <v>467</v>
      </c>
      <c r="E18" s="84" t="s">
        <v>445</v>
      </c>
      <c r="F18" s="84" t="s">
        <v>445</v>
      </c>
      <c r="G18" s="84" t="s">
        <v>577</v>
      </c>
      <c r="H18" s="84" t="s">
        <v>581</v>
      </c>
      <c r="I18" s="84" t="s">
        <v>590</v>
      </c>
      <c r="J18" s="84">
        <v>-12.06148055555556</v>
      </c>
      <c r="K18" s="84">
        <v>-75.200372222222228</v>
      </c>
    </row>
    <row r="19" spans="1:11" x14ac:dyDescent="0.25">
      <c r="A19" t="s">
        <v>603</v>
      </c>
      <c r="B19" t="s">
        <v>471</v>
      </c>
      <c r="C19" t="s">
        <v>467</v>
      </c>
      <c r="D19" t="s">
        <v>467</v>
      </c>
      <c r="E19" t="s">
        <v>445</v>
      </c>
      <c r="F19" t="s">
        <v>445</v>
      </c>
      <c r="G19" t="s">
        <v>577</v>
      </c>
      <c r="H19" t="s">
        <v>581</v>
      </c>
      <c r="I19" t="s">
        <v>590</v>
      </c>
      <c r="J19">
        <v>-12.06148055555556</v>
      </c>
      <c r="K19">
        <v>-75.200372222222228</v>
      </c>
    </row>
    <row r="20" spans="1:11" x14ac:dyDescent="0.25">
      <c r="A20" s="84" t="s">
        <v>604</v>
      </c>
      <c r="B20" s="84" t="s">
        <v>472</v>
      </c>
      <c r="C20" s="84" t="s">
        <v>467</v>
      </c>
      <c r="D20" s="84" t="s">
        <v>467</v>
      </c>
      <c r="E20" s="84" t="s">
        <v>445</v>
      </c>
      <c r="F20" s="84" t="s">
        <v>445</v>
      </c>
      <c r="G20" s="84" t="s">
        <v>577</v>
      </c>
      <c r="H20" s="84" t="s">
        <v>581</v>
      </c>
      <c r="I20" s="84" t="s">
        <v>590</v>
      </c>
      <c r="J20" s="84">
        <v>-12.06148055555556</v>
      </c>
      <c r="K20" s="84">
        <v>-75.200372222222228</v>
      </c>
    </row>
    <row r="21" spans="1:11" x14ac:dyDescent="0.25">
      <c r="A21" t="s">
        <v>605</v>
      </c>
      <c r="B21" t="s">
        <v>473</v>
      </c>
      <c r="C21" t="s">
        <v>467</v>
      </c>
      <c r="D21" t="s">
        <v>467</v>
      </c>
      <c r="E21" t="s">
        <v>445</v>
      </c>
      <c r="F21" t="s">
        <v>445</v>
      </c>
      <c r="G21" t="s">
        <v>577</v>
      </c>
      <c r="H21" t="s">
        <v>581</v>
      </c>
      <c r="I21" t="s">
        <v>590</v>
      </c>
      <c r="J21">
        <v>-12.06148055555556</v>
      </c>
      <c r="K21">
        <v>-75.200372222222228</v>
      </c>
    </row>
    <row r="22" spans="1:11" x14ac:dyDescent="0.25">
      <c r="A22" s="84" t="s">
        <v>606</v>
      </c>
      <c r="B22" s="84" t="s">
        <v>474</v>
      </c>
      <c r="C22" s="84" t="s">
        <v>467</v>
      </c>
      <c r="D22" s="84" t="s">
        <v>467</v>
      </c>
      <c r="E22" s="84" t="s">
        <v>445</v>
      </c>
      <c r="F22" s="84" t="s">
        <v>445</v>
      </c>
      <c r="G22" s="84" t="s">
        <v>577</v>
      </c>
      <c r="H22" s="84" t="s">
        <v>581</v>
      </c>
      <c r="I22" s="84" t="s">
        <v>590</v>
      </c>
      <c r="J22" s="84">
        <v>-12.06148055555556</v>
      </c>
      <c r="K22" s="84">
        <v>-75.200372222222228</v>
      </c>
    </row>
    <row r="23" spans="1:11" x14ac:dyDescent="0.25">
      <c r="A23" t="s">
        <v>607</v>
      </c>
      <c r="B23" t="s">
        <v>475</v>
      </c>
      <c r="C23" t="s">
        <v>467</v>
      </c>
      <c r="D23" t="s">
        <v>467</v>
      </c>
      <c r="E23" t="s">
        <v>445</v>
      </c>
      <c r="F23" t="s">
        <v>445</v>
      </c>
      <c r="G23" t="s">
        <v>577</v>
      </c>
      <c r="H23" t="s">
        <v>581</v>
      </c>
      <c r="I23" t="s">
        <v>590</v>
      </c>
      <c r="J23">
        <v>-12.06148055555556</v>
      </c>
      <c r="K23">
        <v>-75.200372222222228</v>
      </c>
    </row>
    <row r="24" spans="1:11" x14ac:dyDescent="0.25">
      <c r="A24" s="84" t="s">
        <v>608</v>
      </c>
      <c r="B24" s="84" t="s">
        <v>476</v>
      </c>
      <c r="C24" s="84" t="s">
        <v>467</v>
      </c>
      <c r="D24" s="84" t="s">
        <v>467</v>
      </c>
      <c r="E24" s="84" t="s">
        <v>445</v>
      </c>
      <c r="F24" s="84" t="s">
        <v>516</v>
      </c>
      <c r="G24" s="84" t="s">
        <v>577</v>
      </c>
      <c r="H24" s="84" t="s">
        <v>581</v>
      </c>
      <c r="I24" s="84" t="s">
        <v>590</v>
      </c>
      <c r="J24" s="84">
        <v>-12.059261111111111</v>
      </c>
      <c r="K24" s="84">
        <v>-75.215338888888894</v>
      </c>
    </row>
    <row r="25" spans="1:11" x14ac:dyDescent="0.25">
      <c r="A25" t="s">
        <v>609</v>
      </c>
      <c r="B25" t="s">
        <v>483</v>
      </c>
      <c r="C25" t="s">
        <v>467</v>
      </c>
      <c r="D25" t="s">
        <v>467</v>
      </c>
      <c r="E25" t="s">
        <v>445</v>
      </c>
      <c r="F25" t="s">
        <v>516</v>
      </c>
      <c r="G25" t="s">
        <v>577</v>
      </c>
      <c r="H25" t="s">
        <v>581</v>
      </c>
      <c r="I25" t="s">
        <v>590</v>
      </c>
      <c r="J25">
        <v>-13.059261111111111</v>
      </c>
      <c r="K25">
        <v>-76.215338888888894</v>
      </c>
    </row>
    <row r="26" spans="1:11" x14ac:dyDescent="0.25">
      <c r="A26" s="84" t="s">
        <v>610</v>
      </c>
      <c r="B26" s="84" t="s">
        <v>484</v>
      </c>
      <c r="C26" s="84" t="s">
        <v>467</v>
      </c>
      <c r="D26" s="84" t="s">
        <v>467</v>
      </c>
      <c r="E26" s="84" t="s">
        <v>445</v>
      </c>
      <c r="F26" s="84" t="s">
        <v>516</v>
      </c>
      <c r="G26" s="84" t="s">
        <v>577</v>
      </c>
      <c r="H26" s="84" t="s">
        <v>581</v>
      </c>
      <c r="I26" s="84" t="s">
        <v>590</v>
      </c>
      <c r="J26" s="84">
        <v>-14.059261111111111</v>
      </c>
      <c r="K26" s="84">
        <v>-77.215338888888894</v>
      </c>
    </row>
    <row r="27" spans="1:11" x14ac:dyDescent="0.25">
      <c r="A27" t="s">
        <v>611</v>
      </c>
      <c r="B27" t="s">
        <v>485</v>
      </c>
      <c r="C27" t="s">
        <v>467</v>
      </c>
      <c r="D27" t="s">
        <v>467</v>
      </c>
      <c r="E27" t="s">
        <v>445</v>
      </c>
      <c r="F27" t="s">
        <v>445</v>
      </c>
      <c r="G27" t="s">
        <v>577</v>
      </c>
      <c r="H27" t="s">
        <v>581</v>
      </c>
      <c r="I27" t="s">
        <v>590</v>
      </c>
      <c r="J27">
        <v>-12.06148055555556</v>
      </c>
      <c r="K27">
        <v>-75.200372222222228</v>
      </c>
    </row>
    <row r="28" spans="1:11" x14ac:dyDescent="0.25">
      <c r="A28" s="84" t="s">
        <v>612</v>
      </c>
      <c r="B28" s="84" t="s">
        <v>486</v>
      </c>
      <c r="C28" s="84" t="s">
        <v>467</v>
      </c>
      <c r="D28" s="84" t="s">
        <v>467</v>
      </c>
      <c r="E28" s="84" t="s">
        <v>445</v>
      </c>
      <c r="F28" s="84" t="s">
        <v>445</v>
      </c>
      <c r="G28" s="84" t="s">
        <v>577</v>
      </c>
      <c r="H28" s="84" t="s">
        <v>581</v>
      </c>
      <c r="I28" s="84" t="s">
        <v>590</v>
      </c>
      <c r="J28" s="84">
        <v>-12.06148055555556</v>
      </c>
      <c r="K28" s="84">
        <v>-75.200372222222228</v>
      </c>
    </row>
    <row r="29" spans="1:11" x14ac:dyDescent="0.25">
      <c r="A29" t="s">
        <v>613</v>
      </c>
      <c r="B29" t="s">
        <v>487</v>
      </c>
      <c r="C29" t="s">
        <v>467</v>
      </c>
      <c r="D29" t="s">
        <v>467</v>
      </c>
      <c r="E29" t="s">
        <v>445</v>
      </c>
      <c r="F29" t="s">
        <v>445</v>
      </c>
      <c r="G29" t="s">
        <v>577</v>
      </c>
      <c r="H29" t="s">
        <v>581</v>
      </c>
      <c r="I29" t="s">
        <v>590</v>
      </c>
      <c r="J29">
        <v>-12.06148055555556</v>
      </c>
      <c r="K29">
        <v>-75.200372222222228</v>
      </c>
    </row>
    <row r="30" spans="1:11" x14ac:dyDescent="0.25">
      <c r="A30" s="84" t="s">
        <v>614</v>
      </c>
      <c r="B30" s="84" t="s">
        <v>488</v>
      </c>
      <c r="C30" s="84" t="s">
        <v>467</v>
      </c>
      <c r="D30" s="84" t="s">
        <v>467</v>
      </c>
      <c r="E30" s="84" t="s">
        <v>445</v>
      </c>
      <c r="F30" s="84" t="s">
        <v>445</v>
      </c>
      <c r="G30" s="84" t="s">
        <v>577</v>
      </c>
      <c r="H30" s="84" t="s">
        <v>581</v>
      </c>
      <c r="I30" s="84" t="s">
        <v>590</v>
      </c>
      <c r="J30" s="84">
        <v>-12.06148055555556</v>
      </c>
      <c r="K30" s="84">
        <v>-75.200372222222228</v>
      </c>
    </row>
    <row r="31" spans="1:11" x14ac:dyDescent="0.25">
      <c r="A31" t="s">
        <v>615</v>
      </c>
      <c r="B31" t="s">
        <v>489</v>
      </c>
      <c r="C31" t="s">
        <v>467</v>
      </c>
      <c r="D31" t="s">
        <v>467</v>
      </c>
      <c r="E31" t="s">
        <v>445</v>
      </c>
      <c r="F31" t="s">
        <v>445</v>
      </c>
      <c r="G31" t="s">
        <v>577</v>
      </c>
      <c r="H31" t="s">
        <v>581</v>
      </c>
      <c r="I31" t="s">
        <v>590</v>
      </c>
      <c r="J31">
        <v>-12.06148055555556</v>
      </c>
      <c r="K31">
        <v>-75.200372222222228</v>
      </c>
    </row>
    <row r="32" spans="1:11" x14ac:dyDescent="0.25">
      <c r="A32" s="84" t="s">
        <v>616</v>
      </c>
      <c r="B32" s="84" t="s">
        <v>490</v>
      </c>
      <c r="C32" s="84" t="s">
        <v>467</v>
      </c>
      <c r="D32" s="84" t="s">
        <v>467</v>
      </c>
      <c r="E32" s="84" t="s">
        <v>445</v>
      </c>
      <c r="F32" s="84" t="s">
        <v>445</v>
      </c>
      <c r="G32" s="84" t="s">
        <v>577</v>
      </c>
      <c r="H32" s="84" t="s">
        <v>581</v>
      </c>
      <c r="I32" s="84" t="s">
        <v>590</v>
      </c>
      <c r="J32" s="84">
        <v>-12.06148055555556</v>
      </c>
      <c r="K32" s="84">
        <v>-75.200372222222228</v>
      </c>
    </row>
    <row r="33" spans="1:11" x14ac:dyDescent="0.25">
      <c r="A33" t="s">
        <v>617</v>
      </c>
      <c r="B33" t="s">
        <v>491</v>
      </c>
      <c r="C33" t="s">
        <v>467</v>
      </c>
      <c r="D33" t="s">
        <v>467</v>
      </c>
      <c r="E33" t="s">
        <v>445</v>
      </c>
      <c r="F33" t="s">
        <v>445</v>
      </c>
      <c r="G33" t="s">
        <v>577</v>
      </c>
      <c r="H33" t="s">
        <v>581</v>
      </c>
      <c r="I33" t="s">
        <v>590</v>
      </c>
      <c r="J33">
        <v>-12.06148055555556</v>
      </c>
      <c r="K33">
        <v>-75.200372222222228</v>
      </c>
    </row>
    <row r="34" spans="1:11" x14ac:dyDescent="0.25">
      <c r="A34" s="84" t="s">
        <v>618</v>
      </c>
      <c r="B34" s="84" t="s">
        <v>492</v>
      </c>
      <c r="C34" s="84" t="s">
        <v>467</v>
      </c>
      <c r="D34" s="84" t="s">
        <v>467</v>
      </c>
      <c r="E34" s="84" t="s">
        <v>445</v>
      </c>
      <c r="F34" s="84" t="s">
        <v>516</v>
      </c>
      <c r="G34" s="84" t="s">
        <v>577</v>
      </c>
      <c r="H34" s="84" t="s">
        <v>581</v>
      </c>
      <c r="I34" s="84" t="s">
        <v>590</v>
      </c>
      <c r="J34" s="84">
        <v>-12.059261111111111</v>
      </c>
      <c r="K34" s="84">
        <v>-75.215338888888894</v>
      </c>
    </row>
    <row r="35" spans="1:11" x14ac:dyDescent="0.25">
      <c r="A35" t="s">
        <v>619</v>
      </c>
      <c r="B35" t="s">
        <v>493</v>
      </c>
      <c r="C35" t="s">
        <v>467</v>
      </c>
      <c r="D35" t="s">
        <v>467</v>
      </c>
      <c r="E35" t="s">
        <v>445</v>
      </c>
      <c r="F35" t="s">
        <v>516</v>
      </c>
      <c r="G35" t="s">
        <v>577</v>
      </c>
      <c r="H35" t="s">
        <v>581</v>
      </c>
      <c r="I35" t="s">
        <v>590</v>
      </c>
      <c r="J35">
        <v>-13.059261111111111</v>
      </c>
      <c r="K35">
        <v>-76.215338888888894</v>
      </c>
    </row>
    <row r="36" spans="1:11" x14ac:dyDescent="0.25">
      <c r="A36" s="84" t="s">
        <v>620</v>
      </c>
      <c r="B36" s="84" t="s">
        <v>494</v>
      </c>
      <c r="C36" s="84" t="s">
        <v>467</v>
      </c>
      <c r="D36" s="84" t="s">
        <v>467</v>
      </c>
      <c r="E36" s="84" t="s">
        <v>445</v>
      </c>
      <c r="F36" s="84" t="s">
        <v>516</v>
      </c>
      <c r="G36" s="84" t="s">
        <v>577</v>
      </c>
      <c r="H36" s="84" t="s">
        <v>581</v>
      </c>
      <c r="I36" s="84" t="s">
        <v>590</v>
      </c>
      <c r="J36" s="84">
        <v>-14.059261111111111</v>
      </c>
      <c r="K36" s="84">
        <v>-77.215338888888894</v>
      </c>
    </row>
    <row r="37" spans="1:11" x14ac:dyDescent="0.25">
      <c r="A37" t="s">
        <v>621</v>
      </c>
      <c r="B37" t="s">
        <v>495</v>
      </c>
      <c r="C37" t="s">
        <v>467</v>
      </c>
      <c r="D37" t="s">
        <v>467</v>
      </c>
      <c r="E37" t="s">
        <v>445</v>
      </c>
      <c r="F37" t="s">
        <v>516</v>
      </c>
      <c r="G37" t="s">
        <v>577</v>
      </c>
      <c r="H37" t="s">
        <v>586</v>
      </c>
      <c r="I37" t="s">
        <v>590</v>
      </c>
      <c r="J37">
        <v>-12.060394444444441</v>
      </c>
      <c r="K37">
        <v>-75.215477777777778</v>
      </c>
    </row>
    <row r="38" spans="1:11" x14ac:dyDescent="0.25">
      <c r="A38" s="84" t="s">
        <v>622</v>
      </c>
      <c r="B38" s="84" t="s">
        <v>496</v>
      </c>
      <c r="C38" s="84" t="s">
        <v>467</v>
      </c>
      <c r="D38" s="84" t="s">
        <v>467</v>
      </c>
      <c r="E38" s="84" t="s">
        <v>445</v>
      </c>
      <c r="F38" s="84" t="s">
        <v>445</v>
      </c>
      <c r="G38" s="84" t="s">
        <v>577</v>
      </c>
      <c r="H38" s="84" t="s">
        <v>586</v>
      </c>
      <c r="I38" s="84" t="s">
        <v>590</v>
      </c>
      <c r="J38" s="84">
        <v>-12.06148055555556</v>
      </c>
      <c r="K38" s="84">
        <v>-75.200372222222228</v>
      </c>
    </row>
    <row r="39" spans="1:11" x14ac:dyDescent="0.25">
      <c r="A39" t="s">
        <v>623</v>
      </c>
      <c r="B39" t="s">
        <v>497</v>
      </c>
      <c r="C39" t="s">
        <v>467</v>
      </c>
      <c r="D39" t="s">
        <v>467</v>
      </c>
      <c r="E39" t="s">
        <v>445</v>
      </c>
      <c r="F39" t="s">
        <v>445</v>
      </c>
      <c r="G39" t="s">
        <v>577</v>
      </c>
      <c r="H39" t="s">
        <v>586</v>
      </c>
      <c r="I39" t="s">
        <v>590</v>
      </c>
      <c r="J39">
        <v>-12.06148055555556</v>
      </c>
      <c r="K39">
        <v>-75.200372222222228</v>
      </c>
    </row>
    <row r="40" spans="1:11" x14ac:dyDescent="0.25">
      <c r="A40" s="84" t="s">
        <v>624</v>
      </c>
      <c r="B40" s="84" t="s">
        <v>498</v>
      </c>
      <c r="C40" s="84" t="s">
        <v>467</v>
      </c>
      <c r="D40" s="84" t="s">
        <v>467</v>
      </c>
      <c r="E40" s="84" t="s">
        <v>445</v>
      </c>
      <c r="F40" s="84" t="s">
        <v>516</v>
      </c>
      <c r="G40" s="84" t="s">
        <v>577</v>
      </c>
      <c r="H40" s="84" t="s">
        <v>586</v>
      </c>
      <c r="I40" s="84" t="s">
        <v>590</v>
      </c>
      <c r="J40" s="84">
        <v>-12.060394444444441</v>
      </c>
      <c r="K40" s="84">
        <v>-75.215477777777778</v>
      </c>
    </row>
    <row r="41" spans="1:11" x14ac:dyDescent="0.25">
      <c r="A41" t="s">
        <v>625</v>
      </c>
      <c r="B41" t="s">
        <v>499</v>
      </c>
      <c r="C41" t="s">
        <v>467</v>
      </c>
      <c r="D41" t="s">
        <v>467</v>
      </c>
      <c r="E41" t="s">
        <v>445</v>
      </c>
      <c r="F41" t="s">
        <v>516</v>
      </c>
      <c r="G41" t="s">
        <v>584</v>
      </c>
      <c r="H41" t="s">
        <v>586</v>
      </c>
      <c r="I41" t="s">
        <v>590</v>
      </c>
      <c r="J41">
        <v>-12.060394444444441</v>
      </c>
      <c r="K41">
        <v>-75.215477777777778</v>
      </c>
    </row>
    <row r="42" spans="1:11" x14ac:dyDescent="0.25">
      <c r="A42" s="84" t="s">
        <v>626</v>
      </c>
      <c r="B42" s="84" t="s">
        <v>500</v>
      </c>
      <c r="C42" s="84" t="s">
        <v>467</v>
      </c>
      <c r="D42" s="84" t="s">
        <v>467</v>
      </c>
      <c r="E42" s="84" t="s">
        <v>445</v>
      </c>
      <c r="F42" s="84" t="s">
        <v>516</v>
      </c>
      <c r="G42" s="84" t="s">
        <v>577</v>
      </c>
      <c r="H42" s="84" t="s">
        <v>627</v>
      </c>
      <c r="I42" s="84" t="s">
        <v>590</v>
      </c>
      <c r="J42" s="84">
        <v>-12.060380555555559</v>
      </c>
      <c r="K42" s="84">
        <v>-75.216983333333332</v>
      </c>
    </row>
    <row r="43" spans="1:11" x14ac:dyDescent="0.25">
      <c r="A43" t="s">
        <v>628</v>
      </c>
      <c r="B43" t="s">
        <v>501</v>
      </c>
      <c r="C43" t="s">
        <v>467</v>
      </c>
      <c r="D43" t="s">
        <v>467</v>
      </c>
      <c r="E43" t="s">
        <v>445</v>
      </c>
      <c r="F43" t="s">
        <v>516</v>
      </c>
      <c r="G43" t="s">
        <v>577</v>
      </c>
      <c r="H43" t="s">
        <v>627</v>
      </c>
      <c r="I43" t="s">
        <v>590</v>
      </c>
      <c r="J43">
        <v>-12.060380555555559</v>
      </c>
      <c r="K43">
        <v>-75.216983333333332</v>
      </c>
    </row>
    <row r="44" spans="1:11" x14ac:dyDescent="0.25">
      <c r="A44" s="84" t="s">
        <v>629</v>
      </c>
      <c r="B44" s="84" t="s">
        <v>502</v>
      </c>
      <c r="C44" s="84" t="s">
        <v>467</v>
      </c>
      <c r="D44" s="84" t="s">
        <v>467</v>
      </c>
      <c r="E44" s="84" t="s">
        <v>445</v>
      </c>
      <c r="F44" s="84" t="s">
        <v>516</v>
      </c>
      <c r="G44" s="84" t="s">
        <v>577</v>
      </c>
      <c r="H44" s="84" t="s">
        <v>627</v>
      </c>
      <c r="I44" s="84" t="s">
        <v>590</v>
      </c>
      <c r="J44" s="84">
        <v>-12.060380555555559</v>
      </c>
      <c r="K44" s="84">
        <v>-75.216983333333332</v>
      </c>
    </row>
    <row r="45" spans="1:11" x14ac:dyDescent="0.25">
      <c r="A45" t="s">
        <v>630</v>
      </c>
      <c r="B45" t="s">
        <v>503</v>
      </c>
      <c r="C45" t="s">
        <v>467</v>
      </c>
      <c r="D45" t="s">
        <v>467</v>
      </c>
      <c r="E45" t="s">
        <v>445</v>
      </c>
      <c r="F45" t="s">
        <v>516</v>
      </c>
      <c r="G45" t="s">
        <v>577</v>
      </c>
      <c r="H45" t="s">
        <v>627</v>
      </c>
      <c r="I45" t="s">
        <v>590</v>
      </c>
      <c r="J45">
        <v>-12.060380555555559</v>
      </c>
      <c r="K45">
        <v>-75.216983333333332</v>
      </c>
    </row>
    <row r="46" spans="1:11" x14ac:dyDescent="0.25">
      <c r="A46" s="84" t="s">
        <v>631</v>
      </c>
      <c r="B46" s="84" t="s">
        <v>504</v>
      </c>
      <c r="C46" s="84" t="s">
        <v>467</v>
      </c>
      <c r="D46" s="84" t="s">
        <v>467</v>
      </c>
      <c r="E46" s="84" t="s">
        <v>445</v>
      </c>
      <c r="F46" s="84" t="s">
        <v>516</v>
      </c>
      <c r="G46" s="84" t="s">
        <v>577</v>
      </c>
      <c r="H46" s="84" t="s">
        <v>627</v>
      </c>
      <c r="I46" s="84" t="s">
        <v>590</v>
      </c>
      <c r="J46" s="84">
        <v>-12.05902222222222</v>
      </c>
      <c r="K46" s="84">
        <v>-75.211077777777774</v>
      </c>
    </row>
    <row r="47" spans="1:11" x14ac:dyDescent="0.25">
      <c r="A47" t="s">
        <v>632</v>
      </c>
      <c r="B47" t="s">
        <v>506</v>
      </c>
      <c r="C47" t="s">
        <v>467</v>
      </c>
      <c r="D47" t="s">
        <v>467</v>
      </c>
      <c r="E47" t="s">
        <v>445</v>
      </c>
      <c r="F47" t="s">
        <v>516</v>
      </c>
      <c r="G47" t="s">
        <v>577</v>
      </c>
      <c r="H47" t="s">
        <v>627</v>
      </c>
      <c r="I47" t="s">
        <v>590</v>
      </c>
      <c r="J47">
        <v>-12.05902222222222</v>
      </c>
      <c r="K47">
        <v>-75.211077777777774</v>
      </c>
    </row>
    <row r="48" spans="1:11" x14ac:dyDescent="0.25">
      <c r="A48" s="84" t="s">
        <v>633</v>
      </c>
      <c r="B48" s="84" t="s">
        <v>507</v>
      </c>
      <c r="C48" s="84" t="s">
        <v>467</v>
      </c>
      <c r="D48" s="84" t="s">
        <v>467</v>
      </c>
      <c r="E48" s="84" t="s">
        <v>445</v>
      </c>
      <c r="F48" s="84" t="s">
        <v>516</v>
      </c>
      <c r="G48" s="84" t="s">
        <v>577</v>
      </c>
      <c r="H48" s="84" t="s">
        <v>627</v>
      </c>
      <c r="I48" s="84" t="s">
        <v>590</v>
      </c>
      <c r="J48" s="84">
        <v>-12.05902222222222</v>
      </c>
      <c r="K48" s="84">
        <v>-75.211077777777774</v>
      </c>
    </row>
    <row r="49" spans="1:11" x14ac:dyDescent="0.25">
      <c r="A49" t="s">
        <v>634</v>
      </c>
      <c r="B49" t="s">
        <v>508</v>
      </c>
      <c r="C49" t="s">
        <v>467</v>
      </c>
      <c r="D49" t="s">
        <v>467</v>
      </c>
      <c r="E49" t="s">
        <v>445</v>
      </c>
      <c r="F49" t="s">
        <v>516</v>
      </c>
      <c r="G49" t="s">
        <v>577</v>
      </c>
      <c r="H49" t="s">
        <v>627</v>
      </c>
      <c r="I49" t="s">
        <v>590</v>
      </c>
      <c r="J49">
        <v>-12.05902222222222</v>
      </c>
      <c r="K49">
        <v>-75.211077777777774</v>
      </c>
    </row>
    <row r="50" spans="1:11" x14ac:dyDescent="0.25">
      <c r="A50" s="84" t="s">
        <v>635</v>
      </c>
      <c r="B50" s="84" t="s">
        <v>509</v>
      </c>
      <c r="C50" s="84" t="s">
        <v>467</v>
      </c>
      <c r="D50" s="84" t="s">
        <v>467</v>
      </c>
      <c r="E50" s="84" t="s">
        <v>445</v>
      </c>
      <c r="F50" s="84" t="s">
        <v>516</v>
      </c>
      <c r="G50" s="84" t="s">
        <v>577</v>
      </c>
      <c r="H50" s="84" t="s">
        <v>627</v>
      </c>
      <c r="I50" s="84" t="s">
        <v>590</v>
      </c>
      <c r="J50" s="84">
        <v>-12.05902222222222</v>
      </c>
      <c r="K50" s="84">
        <v>-75.211077777777774</v>
      </c>
    </row>
    <row r="51" spans="1:11" x14ac:dyDescent="0.25">
      <c r="A51" t="s">
        <v>636</v>
      </c>
      <c r="B51" t="s">
        <v>510</v>
      </c>
      <c r="C51" t="s">
        <v>467</v>
      </c>
      <c r="D51" t="s">
        <v>467</v>
      </c>
      <c r="E51" t="s">
        <v>445</v>
      </c>
      <c r="F51" t="s">
        <v>516</v>
      </c>
      <c r="G51" t="s">
        <v>577</v>
      </c>
      <c r="H51" t="s">
        <v>627</v>
      </c>
      <c r="I51" t="s">
        <v>590</v>
      </c>
      <c r="J51">
        <v>-12.05902222222222</v>
      </c>
      <c r="K51">
        <v>-75.211077777777774</v>
      </c>
    </row>
    <row r="52" spans="1:11" x14ac:dyDescent="0.25">
      <c r="A52" s="84" t="s">
        <v>637</v>
      </c>
      <c r="B52" s="84" t="s">
        <v>511</v>
      </c>
      <c r="C52" s="84" t="s">
        <v>467</v>
      </c>
      <c r="D52" s="84" t="s">
        <v>467</v>
      </c>
      <c r="E52" s="84" t="s">
        <v>445</v>
      </c>
      <c r="F52" s="84" t="s">
        <v>516</v>
      </c>
      <c r="G52" s="84" t="s">
        <v>577</v>
      </c>
      <c r="H52" s="84" t="s">
        <v>638</v>
      </c>
      <c r="I52" s="84" t="s">
        <v>590</v>
      </c>
      <c r="J52" s="84">
        <v>-12.060397222222219</v>
      </c>
      <c r="K52" s="84">
        <v>-75.213447222222229</v>
      </c>
    </row>
    <row r="53" spans="1:11" x14ac:dyDescent="0.25">
      <c r="A53" t="s">
        <v>639</v>
      </c>
      <c r="B53" t="s">
        <v>512</v>
      </c>
      <c r="C53" t="s">
        <v>467</v>
      </c>
      <c r="D53" t="s">
        <v>467</v>
      </c>
      <c r="E53" t="s">
        <v>445</v>
      </c>
      <c r="F53" t="s">
        <v>516</v>
      </c>
      <c r="G53" t="s">
        <v>577</v>
      </c>
      <c r="H53" t="s">
        <v>627</v>
      </c>
      <c r="I53" t="s">
        <v>539</v>
      </c>
      <c r="J53">
        <v>-12.060380555555559</v>
      </c>
      <c r="K53">
        <v>-75.216983333333332</v>
      </c>
    </row>
    <row r="54" spans="1:11" x14ac:dyDescent="0.25">
      <c r="A54" s="84" t="s">
        <v>640</v>
      </c>
      <c r="B54" s="84" t="s">
        <v>513</v>
      </c>
      <c r="C54" s="84" t="s">
        <v>467</v>
      </c>
      <c r="D54" s="84" t="s">
        <v>467</v>
      </c>
      <c r="E54" s="84" t="s">
        <v>445</v>
      </c>
      <c r="F54" s="84" t="s">
        <v>516</v>
      </c>
      <c r="G54" s="84" t="s">
        <v>577</v>
      </c>
      <c r="H54" s="84" t="s">
        <v>627</v>
      </c>
      <c r="I54" s="84" t="s">
        <v>539</v>
      </c>
      <c r="J54" s="84">
        <v>-12.060380555555559</v>
      </c>
      <c r="K54" s="84">
        <v>-75.216983333333332</v>
      </c>
    </row>
    <row r="55" spans="1:11" x14ac:dyDescent="0.25">
      <c r="A55" t="s">
        <v>641</v>
      </c>
      <c r="B55" t="s">
        <v>514</v>
      </c>
      <c r="C55" t="s">
        <v>467</v>
      </c>
      <c r="D55" t="s">
        <v>467</v>
      </c>
      <c r="E55" t="s">
        <v>445</v>
      </c>
      <c r="F55" t="s">
        <v>516</v>
      </c>
      <c r="G55" t="s">
        <v>577</v>
      </c>
      <c r="H55" t="s">
        <v>589</v>
      </c>
      <c r="I55" t="s">
        <v>539</v>
      </c>
      <c r="J55">
        <v>-12.05902222222222</v>
      </c>
      <c r="K55">
        <v>-75.211077777777774</v>
      </c>
    </row>
    <row r="56" spans="1:11" x14ac:dyDescent="0.25">
      <c r="A56" s="84" t="s">
        <v>642</v>
      </c>
      <c r="B56" s="84" t="s">
        <v>515</v>
      </c>
      <c r="C56" s="84" t="s">
        <v>467</v>
      </c>
      <c r="D56" s="84" t="s">
        <v>467</v>
      </c>
      <c r="E56" s="84" t="s">
        <v>445</v>
      </c>
      <c r="F56" s="84" t="s">
        <v>516</v>
      </c>
      <c r="G56" s="84" t="s">
        <v>577</v>
      </c>
      <c r="H56" s="84" t="s">
        <v>581</v>
      </c>
      <c r="I56" s="84" t="s">
        <v>539</v>
      </c>
      <c r="J56" s="84">
        <v>-12.05902222222222</v>
      </c>
      <c r="K56" s="84">
        <v>-75.211077777777774</v>
      </c>
    </row>
    <row r="57" spans="1:11" x14ac:dyDescent="0.25">
      <c r="A57" t="s">
        <v>643</v>
      </c>
      <c r="B57" t="s">
        <v>517</v>
      </c>
      <c r="C57" t="s">
        <v>467</v>
      </c>
      <c r="D57" t="s">
        <v>467</v>
      </c>
      <c r="E57" t="s">
        <v>445</v>
      </c>
      <c r="F57" t="s">
        <v>445</v>
      </c>
      <c r="G57" t="s">
        <v>577</v>
      </c>
      <c r="H57" t="s">
        <v>586</v>
      </c>
      <c r="I57" t="s">
        <v>539</v>
      </c>
      <c r="J57">
        <v>-12.06148055555556</v>
      </c>
      <c r="K57">
        <v>-75.200372222222228</v>
      </c>
    </row>
    <row r="58" spans="1:11" x14ac:dyDescent="0.25">
      <c r="A58" s="84" t="s">
        <v>644</v>
      </c>
      <c r="B58" s="84" t="s">
        <v>518</v>
      </c>
      <c r="C58" s="84" t="s">
        <v>467</v>
      </c>
      <c r="D58" s="84" t="s">
        <v>467</v>
      </c>
      <c r="E58" s="84" t="s">
        <v>445</v>
      </c>
      <c r="F58" s="84" t="s">
        <v>445</v>
      </c>
      <c r="G58" s="84" t="s">
        <v>577</v>
      </c>
      <c r="H58" s="84" t="s">
        <v>578</v>
      </c>
      <c r="I58" s="84" t="s">
        <v>539</v>
      </c>
      <c r="J58" s="84">
        <v>-12.060397222222219</v>
      </c>
      <c r="K58" s="84">
        <v>-75.213447222222229</v>
      </c>
    </row>
    <row r="59" spans="1:11" x14ac:dyDescent="0.25">
      <c r="A59" t="s">
        <v>645</v>
      </c>
      <c r="B59" t="s">
        <v>522</v>
      </c>
      <c r="C59" t="s">
        <v>467</v>
      </c>
      <c r="D59" t="s">
        <v>467</v>
      </c>
      <c r="E59" t="s">
        <v>445</v>
      </c>
      <c r="F59" t="s">
        <v>445</v>
      </c>
      <c r="G59" t="s">
        <v>577</v>
      </c>
      <c r="H59" t="s">
        <v>578</v>
      </c>
      <c r="I59" t="s">
        <v>539</v>
      </c>
      <c r="J59">
        <v>-12.060397222222219</v>
      </c>
      <c r="K59">
        <v>-75.213447222222229</v>
      </c>
    </row>
    <row r="60" spans="1:11" x14ac:dyDescent="0.25">
      <c r="A60" s="84" t="s">
        <v>646</v>
      </c>
      <c r="B60" s="84" t="s">
        <v>523</v>
      </c>
      <c r="C60" s="84" t="s">
        <v>467</v>
      </c>
      <c r="D60" s="84" t="s">
        <v>467</v>
      </c>
      <c r="E60" s="84" t="s">
        <v>445</v>
      </c>
      <c r="F60" s="84" t="s">
        <v>445</v>
      </c>
      <c r="G60" s="84" t="s">
        <v>577</v>
      </c>
      <c r="H60" s="84" t="s">
        <v>578</v>
      </c>
      <c r="I60" s="84" t="s">
        <v>539</v>
      </c>
      <c r="J60" s="84">
        <v>-12.060397222222219</v>
      </c>
      <c r="K60" s="84">
        <v>-75.213447222222229</v>
      </c>
    </row>
    <row r="61" spans="1:11" x14ac:dyDescent="0.25">
      <c r="A61" t="s">
        <v>647</v>
      </c>
      <c r="B61" t="s">
        <v>524</v>
      </c>
      <c r="C61" t="s">
        <v>467</v>
      </c>
      <c r="D61" t="s">
        <v>467</v>
      </c>
      <c r="E61" t="s">
        <v>445</v>
      </c>
      <c r="F61" t="s">
        <v>648</v>
      </c>
      <c r="G61" t="s">
        <v>577</v>
      </c>
      <c r="H61" t="s">
        <v>578</v>
      </c>
      <c r="I61" t="s">
        <v>539</v>
      </c>
      <c r="J61">
        <v>-12.08064444444444</v>
      </c>
      <c r="K61">
        <v>-75.207766666666672</v>
      </c>
    </row>
    <row r="62" spans="1:11" x14ac:dyDescent="0.25">
      <c r="A62" s="84" t="s">
        <v>649</v>
      </c>
      <c r="B62" s="84" t="s">
        <v>528</v>
      </c>
      <c r="C62" s="84" t="s">
        <v>467</v>
      </c>
      <c r="D62" s="84" t="s">
        <v>467</v>
      </c>
      <c r="E62" s="84" t="s">
        <v>445</v>
      </c>
      <c r="F62" s="84" t="s">
        <v>648</v>
      </c>
      <c r="G62" s="84" t="s">
        <v>577</v>
      </c>
      <c r="H62" s="84" t="s">
        <v>578</v>
      </c>
      <c r="I62" s="84" t="s">
        <v>539</v>
      </c>
      <c r="J62" s="84">
        <v>-12.08064444444444</v>
      </c>
      <c r="K62" s="84">
        <v>-75.207766666666672</v>
      </c>
    </row>
    <row r="63" spans="1:11" x14ac:dyDescent="0.25">
      <c r="A63" t="s">
        <v>650</v>
      </c>
      <c r="B63" t="s">
        <v>529</v>
      </c>
      <c r="C63" t="s">
        <v>467</v>
      </c>
      <c r="D63" t="s">
        <v>467</v>
      </c>
      <c r="E63" t="s">
        <v>445</v>
      </c>
      <c r="F63" t="s">
        <v>651</v>
      </c>
      <c r="G63" t="s">
        <v>577</v>
      </c>
      <c r="H63" t="s">
        <v>578</v>
      </c>
      <c r="I63" t="s">
        <v>539</v>
      </c>
      <c r="J63">
        <v>-11.986544444444441</v>
      </c>
      <c r="K63">
        <v>-75.24281388888889</v>
      </c>
    </row>
    <row r="64" spans="1:11" x14ac:dyDescent="0.25">
      <c r="A64" s="84" t="s">
        <v>652</v>
      </c>
      <c r="B64" s="84" t="s">
        <v>535</v>
      </c>
      <c r="C64" s="84" t="s">
        <v>467</v>
      </c>
      <c r="D64" s="84" t="s">
        <v>467</v>
      </c>
      <c r="E64" s="84" t="s">
        <v>447</v>
      </c>
      <c r="F64" s="84" t="s">
        <v>447</v>
      </c>
      <c r="G64" s="84" t="s">
        <v>577</v>
      </c>
      <c r="H64" s="84" t="s">
        <v>578</v>
      </c>
      <c r="I64" s="84" t="s">
        <v>590</v>
      </c>
      <c r="J64" s="84">
        <v>-12.062138888888891</v>
      </c>
      <c r="K64" s="84">
        <v>-7517.9750000000004</v>
      </c>
    </row>
    <row r="65" spans="1:11" x14ac:dyDescent="0.25">
      <c r="A65" t="s">
        <v>653</v>
      </c>
      <c r="B65" t="s">
        <v>536</v>
      </c>
      <c r="C65" t="s">
        <v>467</v>
      </c>
      <c r="D65" t="s">
        <v>467</v>
      </c>
      <c r="E65" t="s">
        <v>447</v>
      </c>
      <c r="F65" t="s">
        <v>447</v>
      </c>
      <c r="G65" t="s">
        <v>584</v>
      </c>
      <c r="H65" t="s">
        <v>578</v>
      </c>
      <c r="I65" t="s">
        <v>590</v>
      </c>
      <c r="J65">
        <v>-12.062138888888891</v>
      </c>
      <c r="K65">
        <v>-7517.9750000000004</v>
      </c>
    </row>
    <row r="66" spans="1:11" x14ac:dyDescent="0.25">
      <c r="A66" s="84" t="s">
        <v>654</v>
      </c>
      <c r="B66" s="84" t="s">
        <v>537</v>
      </c>
      <c r="C66" s="84" t="s">
        <v>467</v>
      </c>
      <c r="D66" s="84" t="s">
        <v>467</v>
      </c>
      <c r="E66" s="84" t="s">
        <v>447</v>
      </c>
      <c r="F66" s="84" t="s">
        <v>447</v>
      </c>
      <c r="G66" s="84" t="s">
        <v>577</v>
      </c>
      <c r="H66" s="84" t="s">
        <v>581</v>
      </c>
      <c r="I66" s="84" t="s">
        <v>590</v>
      </c>
      <c r="J66" s="84">
        <v>-12.062138888888891</v>
      </c>
      <c r="K66" s="84">
        <v>-7517.9750000000004</v>
      </c>
    </row>
    <row r="67" spans="1:11" x14ac:dyDescent="0.25">
      <c r="A67" t="s">
        <v>655</v>
      </c>
      <c r="B67" t="s">
        <v>538</v>
      </c>
      <c r="C67" t="s">
        <v>467</v>
      </c>
      <c r="D67" t="s">
        <v>467</v>
      </c>
      <c r="E67" t="s">
        <v>447</v>
      </c>
      <c r="F67" t="s">
        <v>447</v>
      </c>
      <c r="G67" t="s">
        <v>577</v>
      </c>
      <c r="H67" t="s">
        <v>581</v>
      </c>
      <c r="I67" t="s">
        <v>590</v>
      </c>
      <c r="J67">
        <v>-12.062138888888891</v>
      </c>
      <c r="K67">
        <v>-7517.9750000000004</v>
      </c>
    </row>
    <row r="68" spans="1:11" x14ac:dyDescent="0.25">
      <c r="A68" s="84" t="s">
        <v>656</v>
      </c>
      <c r="B68" s="84" t="s">
        <v>539</v>
      </c>
      <c r="C68" s="84" t="s">
        <v>467</v>
      </c>
      <c r="D68" s="84" t="s">
        <v>467</v>
      </c>
      <c r="E68" s="84" t="s">
        <v>447</v>
      </c>
      <c r="F68" s="84" t="s">
        <v>447</v>
      </c>
      <c r="G68" s="84" t="s">
        <v>577</v>
      </c>
      <c r="H68" s="84" t="s">
        <v>578</v>
      </c>
      <c r="I68" s="84" t="s">
        <v>539</v>
      </c>
      <c r="J68" s="84">
        <v>-12.062138888888891</v>
      </c>
      <c r="K68" s="84">
        <v>-7517.9750000000004</v>
      </c>
    </row>
    <row r="69" spans="1:11" x14ac:dyDescent="0.25">
      <c r="A69" t="s">
        <v>657</v>
      </c>
      <c r="B69" t="s">
        <v>535</v>
      </c>
      <c r="C69" t="s">
        <v>467</v>
      </c>
      <c r="D69" t="s">
        <v>467</v>
      </c>
      <c r="E69" t="s">
        <v>449</v>
      </c>
      <c r="F69" t="s">
        <v>449</v>
      </c>
      <c r="G69" t="s">
        <v>577</v>
      </c>
      <c r="H69" t="s">
        <v>578</v>
      </c>
      <c r="I69" t="s">
        <v>590</v>
      </c>
      <c r="J69">
        <v>-11.926083333333329</v>
      </c>
      <c r="K69">
        <v>-75.310647222222215</v>
      </c>
    </row>
    <row r="70" spans="1:11" x14ac:dyDescent="0.25">
      <c r="A70" s="84" t="s">
        <v>658</v>
      </c>
      <c r="B70" s="84" t="s">
        <v>537</v>
      </c>
      <c r="C70" s="84" t="s">
        <v>467</v>
      </c>
      <c r="D70" s="84" t="s">
        <v>467</v>
      </c>
      <c r="E70" s="84" t="s">
        <v>449</v>
      </c>
      <c r="F70" s="84" t="s">
        <v>449</v>
      </c>
      <c r="G70" s="84" t="s">
        <v>577</v>
      </c>
      <c r="H70" s="84" t="s">
        <v>581</v>
      </c>
      <c r="I70" s="84" t="s">
        <v>590</v>
      </c>
      <c r="J70" s="84">
        <v>-12.926083333333329</v>
      </c>
      <c r="K70" s="84">
        <v>-75.310647222222215</v>
      </c>
    </row>
    <row r="71" spans="1:11" x14ac:dyDescent="0.25">
      <c r="A71" t="s">
        <v>659</v>
      </c>
      <c r="B71" t="s">
        <v>538</v>
      </c>
      <c r="C71" t="s">
        <v>467</v>
      </c>
      <c r="D71" t="s">
        <v>467</v>
      </c>
      <c r="E71" t="s">
        <v>449</v>
      </c>
      <c r="F71" t="s">
        <v>449</v>
      </c>
      <c r="G71" t="s">
        <v>577</v>
      </c>
      <c r="H71" t="s">
        <v>581</v>
      </c>
      <c r="I71" t="s">
        <v>590</v>
      </c>
      <c r="J71">
        <v>-13.926083333333329</v>
      </c>
      <c r="K71">
        <v>-75.310647222222215</v>
      </c>
    </row>
    <row r="72" spans="1:11" x14ac:dyDescent="0.25">
      <c r="A72" s="84" t="s">
        <v>660</v>
      </c>
      <c r="B72" s="84" t="s">
        <v>539</v>
      </c>
      <c r="C72" s="84" t="s">
        <v>467</v>
      </c>
      <c r="D72" s="84" t="s">
        <v>467</v>
      </c>
      <c r="E72" s="84" t="s">
        <v>449</v>
      </c>
      <c r="F72" s="84" t="s">
        <v>449</v>
      </c>
      <c r="G72" s="84" t="s">
        <v>577</v>
      </c>
      <c r="H72" s="84" t="s">
        <v>578</v>
      </c>
      <c r="I72" s="84" t="s">
        <v>539</v>
      </c>
      <c r="J72" s="84">
        <v>-14.926083333333329</v>
      </c>
      <c r="K72" s="84">
        <v>-75.310647222222215</v>
      </c>
    </row>
    <row r="73" spans="1:11" x14ac:dyDescent="0.25">
      <c r="A73" t="s">
        <v>661</v>
      </c>
      <c r="B73" t="s">
        <v>535</v>
      </c>
      <c r="C73" t="s">
        <v>467</v>
      </c>
      <c r="D73" t="s">
        <v>467</v>
      </c>
      <c r="E73" t="s">
        <v>543</v>
      </c>
      <c r="F73" t="s">
        <v>543</v>
      </c>
      <c r="G73" t="s">
        <v>577</v>
      </c>
      <c r="H73" t="s">
        <v>578</v>
      </c>
      <c r="I73" t="s">
        <v>590</v>
      </c>
      <c r="J73">
        <v>-11.7676</v>
      </c>
      <c r="K73">
        <v>-75.497944444444443</v>
      </c>
    </row>
    <row r="74" spans="1:11" x14ac:dyDescent="0.25">
      <c r="A74" s="84" t="s">
        <v>662</v>
      </c>
      <c r="B74" s="84" t="s">
        <v>546</v>
      </c>
      <c r="C74" s="84" t="s">
        <v>467</v>
      </c>
      <c r="D74" s="84" t="s">
        <v>467</v>
      </c>
      <c r="E74" s="84" t="s">
        <v>543</v>
      </c>
      <c r="F74" s="84" t="s">
        <v>543</v>
      </c>
      <c r="G74" s="84" t="s">
        <v>577</v>
      </c>
      <c r="H74" s="84" t="s">
        <v>581</v>
      </c>
      <c r="I74" s="84" t="s">
        <v>590</v>
      </c>
      <c r="J74" s="84">
        <v>-11.7676</v>
      </c>
      <c r="K74" s="84">
        <v>-75.497944444444443</v>
      </c>
    </row>
    <row r="75" spans="1:11" x14ac:dyDescent="0.25">
      <c r="A75" t="s">
        <v>663</v>
      </c>
      <c r="B75" t="s">
        <v>547</v>
      </c>
      <c r="C75" t="s">
        <v>467</v>
      </c>
      <c r="D75" t="s">
        <v>467</v>
      </c>
      <c r="E75" t="s">
        <v>543</v>
      </c>
      <c r="F75" t="s">
        <v>543</v>
      </c>
      <c r="G75" t="s">
        <v>577</v>
      </c>
      <c r="H75" t="s">
        <v>581</v>
      </c>
      <c r="I75" t="s">
        <v>590</v>
      </c>
      <c r="J75">
        <v>-11.7676</v>
      </c>
      <c r="K75">
        <v>-75.497944444444443</v>
      </c>
    </row>
    <row r="76" spans="1:11" x14ac:dyDescent="0.25">
      <c r="A76" s="84" t="s">
        <v>664</v>
      </c>
      <c r="B76" s="84" t="s">
        <v>665</v>
      </c>
      <c r="C76" s="84" t="s">
        <v>467</v>
      </c>
      <c r="D76" s="84" t="s">
        <v>467</v>
      </c>
      <c r="E76" s="84" t="s">
        <v>543</v>
      </c>
      <c r="F76" s="84" t="s">
        <v>543</v>
      </c>
      <c r="G76" s="84" t="s">
        <v>577</v>
      </c>
      <c r="H76" s="84" t="s">
        <v>581</v>
      </c>
      <c r="I76" s="84" t="s">
        <v>590</v>
      </c>
      <c r="J76" s="84">
        <v>-11.7676</v>
      </c>
      <c r="K76" s="84">
        <v>-75.497944444444443</v>
      </c>
    </row>
    <row r="77" spans="1:11" x14ac:dyDescent="0.25">
      <c r="A77" t="s">
        <v>666</v>
      </c>
      <c r="B77" t="s">
        <v>667</v>
      </c>
      <c r="C77" t="s">
        <v>467</v>
      </c>
      <c r="D77" t="s">
        <v>467</v>
      </c>
      <c r="E77" t="s">
        <v>543</v>
      </c>
      <c r="F77" t="s">
        <v>543</v>
      </c>
      <c r="G77" t="s">
        <v>577</v>
      </c>
      <c r="H77" t="s">
        <v>581</v>
      </c>
      <c r="I77" t="s">
        <v>590</v>
      </c>
      <c r="J77">
        <v>-11.7676</v>
      </c>
      <c r="K77">
        <v>-75.497944444444443</v>
      </c>
    </row>
    <row r="78" spans="1:11" x14ac:dyDescent="0.25">
      <c r="A78" s="84" t="s">
        <v>668</v>
      </c>
      <c r="B78" s="84" t="s">
        <v>669</v>
      </c>
      <c r="C78" s="84" t="s">
        <v>467</v>
      </c>
      <c r="D78" s="84" t="s">
        <v>467</v>
      </c>
      <c r="E78" s="84" t="s">
        <v>543</v>
      </c>
      <c r="F78" s="84" t="s">
        <v>543</v>
      </c>
      <c r="G78" s="84" t="s">
        <v>577</v>
      </c>
      <c r="H78" s="84" t="s">
        <v>627</v>
      </c>
      <c r="I78" s="84" t="s">
        <v>590</v>
      </c>
      <c r="J78" s="84">
        <v>-11.7676</v>
      </c>
      <c r="K78" s="84">
        <v>-75.497944444444443</v>
      </c>
    </row>
    <row r="79" spans="1:11" x14ac:dyDescent="0.25">
      <c r="A79" t="s">
        <v>670</v>
      </c>
      <c r="B79" t="s">
        <v>518</v>
      </c>
      <c r="C79" t="s">
        <v>467</v>
      </c>
      <c r="D79" t="s">
        <v>467</v>
      </c>
      <c r="E79" t="s">
        <v>543</v>
      </c>
      <c r="F79" t="s">
        <v>543</v>
      </c>
      <c r="G79" t="s">
        <v>577</v>
      </c>
      <c r="H79" t="s">
        <v>578</v>
      </c>
      <c r="I79" t="s">
        <v>539</v>
      </c>
      <c r="J79">
        <v>-11.7676</v>
      </c>
      <c r="K79">
        <v>-75.497944444444443</v>
      </c>
    </row>
    <row r="80" spans="1:11" x14ac:dyDescent="0.25">
      <c r="A80" s="84" t="s">
        <v>671</v>
      </c>
      <c r="B80" s="84" t="s">
        <v>537</v>
      </c>
      <c r="C80" s="84" t="s">
        <v>467</v>
      </c>
      <c r="D80" s="84" t="s">
        <v>467</v>
      </c>
      <c r="E80" s="84" t="s">
        <v>467</v>
      </c>
      <c r="F80" s="84" t="s">
        <v>467</v>
      </c>
      <c r="G80" s="84" t="s">
        <v>577</v>
      </c>
      <c r="H80" s="84" t="s">
        <v>581</v>
      </c>
      <c r="I80" s="84" t="s">
        <v>590</v>
      </c>
      <c r="J80" s="84">
        <v>-11.16154166666667</v>
      </c>
      <c r="K80" s="84">
        <v>-75.999186111111115</v>
      </c>
    </row>
    <row r="81" spans="1:11" x14ac:dyDescent="0.25">
      <c r="A81" t="s">
        <v>672</v>
      </c>
      <c r="B81" t="s">
        <v>538</v>
      </c>
      <c r="C81" t="s">
        <v>467</v>
      </c>
      <c r="D81" t="s">
        <v>467</v>
      </c>
      <c r="E81" t="s">
        <v>467</v>
      </c>
      <c r="F81" t="s">
        <v>467</v>
      </c>
      <c r="G81" t="s">
        <v>577</v>
      </c>
      <c r="H81" t="s">
        <v>581</v>
      </c>
      <c r="I81" t="s">
        <v>590</v>
      </c>
      <c r="J81">
        <v>-11.16154166666667</v>
      </c>
      <c r="K81">
        <v>-75.999186111111115</v>
      </c>
    </row>
    <row r="82" spans="1:11" x14ac:dyDescent="0.25">
      <c r="A82" s="84" t="s">
        <v>673</v>
      </c>
      <c r="B82" s="84" t="s">
        <v>535</v>
      </c>
      <c r="C82" s="84" t="s">
        <v>467</v>
      </c>
      <c r="D82" s="84" t="s">
        <v>467</v>
      </c>
      <c r="E82" s="84" t="s">
        <v>467</v>
      </c>
      <c r="F82" s="84" t="s">
        <v>467</v>
      </c>
      <c r="G82" s="84" t="s">
        <v>577</v>
      </c>
      <c r="H82" s="84" t="s">
        <v>578</v>
      </c>
      <c r="I82" s="84" t="s">
        <v>590</v>
      </c>
      <c r="J82" s="84">
        <v>-11.16154166666667</v>
      </c>
      <c r="K82" s="84">
        <v>-75.999186111111115</v>
      </c>
    </row>
    <row r="83" spans="1:11" x14ac:dyDescent="0.25">
      <c r="A83" t="s">
        <v>674</v>
      </c>
      <c r="B83" t="s">
        <v>539</v>
      </c>
      <c r="C83" t="s">
        <v>467</v>
      </c>
      <c r="D83" t="s">
        <v>467</v>
      </c>
      <c r="E83" t="s">
        <v>467</v>
      </c>
      <c r="F83" t="s">
        <v>467</v>
      </c>
      <c r="G83" t="s">
        <v>577</v>
      </c>
      <c r="H83" t="s">
        <v>578</v>
      </c>
      <c r="I83" t="s">
        <v>539</v>
      </c>
      <c r="J83">
        <v>-11.16154166666667</v>
      </c>
      <c r="K83">
        <v>-75.999186111111115</v>
      </c>
    </row>
    <row r="84" spans="1:11" x14ac:dyDescent="0.25">
      <c r="A84" s="84" t="s">
        <v>675</v>
      </c>
      <c r="B84" s="84" t="s">
        <v>544</v>
      </c>
      <c r="C84" s="84" t="s">
        <v>467</v>
      </c>
      <c r="D84" s="84" t="s">
        <v>467</v>
      </c>
      <c r="E84" s="84" t="s">
        <v>469</v>
      </c>
      <c r="F84" s="84" t="s">
        <v>469</v>
      </c>
      <c r="G84" s="84" t="s">
        <v>577</v>
      </c>
      <c r="H84" s="84" t="s">
        <v>578</v>
      </c>
      <c r="I84" s="84" t="s">
        <v>579</v>
      </c>
      <c r="J84" s="84">
        <v>-11.419558333333329</v>
      </c>
      <c r="K84" s="84">
        <v>-75.689480555555562</v>
      </c>
    </row>
    <row r="85" spans="1:11" x14ac:dyDescent="0.25">
      <c r="A85" t="s">
        <v>676</v>
      </c>
      <c r="B85" t="s">
        <v>535</v>
      </c>
      <c r="C85" t="s">
        <v>467</v>
      </c>
      <c r="D85" t="s">
        <v>467</v>
      </c>
      <c r="E85" t="s">
        <v>469</v>
      </c>
      <c r="F85" t="s">
        <v>469</v>
      </c>
      <c r="G85" t="s">
        <v>577</v>
      </c>
      <c r="H85" t="s">
        <v>578</v>
      </c>
      <c r="I85" t="s">
        <v>590</v>
      </c>
      <c r="J85">
        <v>-11.418686111111111</v>
      </c>
      <c r="K85">
        <v>-75.698891666666668</v>
      </c>
    </row>
    <row r="86" spans="1:11" x14ac:dyDescent="0.25">
      <c r="A86" s="84" t="s">
        <v>677</v>
      </c>
      <c r="B86" s="84" t="s">
        <v>546</v>
      </c>
      <c r="C86" s="84" t="s">
        <v>467</v>
      </c>
      <c r="D86" s="84" t="s">
        <v>467</v>
      </c>
      <c r="E86" s="84" t="s">
        <v>469</v>
      </c>
      <c r="F86" s="84" t="s">
        <v>469</v>
      </c>
      <c r="G86" s="84" t="s">
        <v>577</v>
      </c>
      <c r="H86" s="84" t="s">
        <v>581</v>
      </c>
      <c r="I86" s="84" t="s">
        <v>590</v>
      </c>
      <c r="J86" s="84">
        <v>-11.42086111111111</v>
      </c>
      <c r="K86" s="84">
        <v>-75.687747222222228</v>
      </c>
    </row>
    <row r="87" spans="1:11" x14ac:dyDescent="0.25">
      <c r="A87" t="s">
        <v>678</v>
      </c>
      <c r="B87" t="s">
        <v>547</v>
      </c>
      <c r="C87" t="s">
        <v>467</v>
      </c>
      <c r="D87" t="s">
        <v>467</v>
      </c>
      <c r="E87" t="s">
        <v>469</v>
      </c>
      <c r="F87" t="s">
        <v>469</v>
      </c>
      <c r="G87" t="s">
        <v>577</v>
      </c>
      <c r="H87" t="s">
        <v>581</v>
      </c>
      <c r="I87" t="s">
        <v>590</v>
      </c>
      <c r="J87">
        <v>-11.42086111111111</v>
      </c>
      <c r="K87">
        <v>-75.687747222222228</v>
      </c>
    </row>
    <row r="88" spans="1:11" x14ac:dyDescent="0.25">
      <c r="A88" s="84" t="s">
        <v>679</v>
      </c>
      <c r="B88" s="84" t="s">
        <v>548</v>
      </c>
      <c r="C88" s="84" t="s">
        <v>467</v>
      </c>
      <c r="D88" s="84" t="s">
        <v>467</v>
      </c>
      <c r="E88" s="84" t="s">
        <v>469</v>
      </c>
      <c r="F88" s="84" t="s">
        <v>469</v>
      </c>
      <c r="G88" s="84" t="s">
        <v>577</v>
      </c>
      <c r="H88" s="84" t="s">
        <v>581</v>
      </c>
      <c r="I88" s="84" t="s">
        <v>590</v>
      </c>
      <c r="J88" s="84">
        <v>-11.42086111111111</v>
      </c>
      <c r="K88" s="84">
        <v>-75.687747222222228</v>
      </c>
    </row>
    <row r="89" spans="1:11" x14ac:dyDescent="0.25">
      <c r="A89" t="s">
        <v>680</v>
      </c>
      <c r="B89" t="s">
        <v>549</v>
      </c>
      <c r="C89" t="s">
        <v>467</v>
      </c>
      <c r="D89" t="s">
        <v>467</v>
      </c>
      <c r="E89" t="s">
        <v>469</v>
      </c>
      <c r="F89" t="s">
        <v>469</v>
      </c>
      <c r="G89" t="s">
        <v>577</v>
      </c>
      <c r="H89" t="s">
        <v>581</v>
      </c>
      <c r="I89" t="s">
        <v>590</v>
      </c>
      <c r="J89">
        <v>-11.42086111111111</v>
      </c>
      <c r="K89">
        <v>-75.687747222222228</v>
      </c>
    </row>
    <row r="90" spans="1:11" x14ac:dyDescent="0.25">
      <c r="A90" s="84" t="s">
        <v>681</v>
      </c>
      <c r="B90" s="84" t="s">
        <v>550</v>
      </c>
      <c r="C90" s="84" t="s">
        <v>467</v>
      </c>
      <c r="D90" s="84" t="s">
        <v>467</v>
      </c>
      <c r="E90" s="84" t="s">
        <v>469</v>
      </c>
      <c r="F90" s="84" t="s">
        <v>469</v>
      </c>
      <c r="G90" s="84" t="s">
        <v>577</v>
      </c>
      <c r="H90" s="84" t="s">
        <v>581</v>
      </c>
      <c r="I90" s="84" t="s">
        <v>590</v>
      </c>
      <c r="J90" s="84">
        <v>-11.42086111111111</v>
      </c>
      <c r="K90" s="84">
        <v>-75.687747222222228</v>
      </c>
    </row>
    <row r="91" spans="1:11" x14ac:dyDescent="0.25">
      <c r="A91" t="s">
        <v>682</v>
      </c>
      <c r="B91" t="s">
        <v>551</v>
      </c>
      <c r="C91" t="s">
        <v>467</v>
      </c>
      <c r="D91" t="s">
        <v>467</v>
      </c>
      <c r="E91" t="s">
        <v>469</v>
      </c>
      <c r="F91" t="s">
        <v>469</v>
      </c>
      <c r="G91" t="s">
        <v>577</v>
      </c>
      <c r="H91" t="s">
        <v>627</v>
      </c>
      <c r="I91" t="s">
        <v>590</v>
      </c>
      <c r="J91">
        <v>-11.42872777777778</v>
      </c>
      <c r="K91">
        <v>-75.69157222222222</v>
      </c>
    </row>
    <row r="92" spans="1:11" x14ac:dyDescent="0.25">
      <c r="A92" s="84" t="s">
        <v>683</v>
      </c>
      <c r="B92" s="84" t="s">
        <v>552</v>
      </c>
      <c r="C92" s="84" t="s">
        <v>467</v>
      </c>
      <c r="D92" s="84" t="s">
        <v>467</v>
      </c>
      <c r="E92" s="84" t="s">
        <v>469</v>
      </c>
      <c r="F92" s="84" t="s">
        <v>469</v>
      </c>
      <c r="G92" s="84" t="s">
        <v>577</v>
      </c>
      <c r="H92" s="84" t="s">
        <v>578</v>
      </c>
      <c r="I92" s="84" t="s">
        <v>539</v>
      </c>
      <c r="J92" s="84">
        <v>-11.418686111111111</v>
      </c>
      <c r="K92" s="84">
        <v>-75.698891666666668</v>
      </c>
    </row>
    <row r="93" spans="1:11" x14ac:dyDescent="0.25">
      <c r="A93" t="s">
        <v>684</v>
      </c>
      <c r="B93" t="s">
        <v>553</v>
      </c>
      <c r="C93" t="s">
        <v>467</v>
      </c>
      <c r="D93" t="s">
        <v>467</v>
      </c>
      <c r="E93" t="s">
        <v>469</v>
      </c>
      <c r="F93" t="s">
        <v>554</v>
      </c>
      <c r="G93" t="s">
        <v>577</v>
      </c>
      <c r="H93" t="s">
        <v>578</v>
      </c>
      <c r="I93" t="s">
        <v>539</v>
      </c>
      <c r="J93">
        <v>-11.354230555555549</v>
      </c>
      <c r="K93">
        <v>-75.658786111111112</v>
      </c>
    </row>
    <row r="94" spans="1:11" x14ac:dyDescent="0.25">
      <c r="A94" s="84" t="s">
        <v>685</v>
      </c>
      <c r="B94" s="84" t="s">
        <v>535</v>
      </c>
      <c r="C94" s="84" t="s">
        <v>467</v>
      </c>
      <c r="D94" s="84" t="s">
        <v>467</v>
      </c>
      <c r="E94" s="84" t="s">
        <v>470</v>
      </c>
      <c r="F94" s="84" t="s">
        <v>545</v>
      </c>
      <c r="G94" s="84" t="s">
        <v>577</v>
      </c>
      <c r="H94" s="84" t="s">
        <v>578</v>
      </c>
      <c r="I94" s="84" t="s">
        <v>590</v>
      </c>
      <c r="J94" s="84">
        <v>-11.521966666666669</v>
      </c>
      <c r="K94" s="84">
        <v>-75.908011111111122</v>
      </c>
    </row>
    <row r="95" spans="1:11" x14ac:dyDescent="0.25">
      <c r="A95" t="s">
        <v>686</v>
      </c>
      <c r="B95" t="s">
        <v>537</v>
      </c>
      <c r="C95" t="s">
        <v>467</v>
      </c>
      <c r="D95" t="s">
        <v>467</v>
      </c>
      <c r="E95" t="s">
        <v>470</v>
      </c>
      <c r="F95" t="s">
        <v>545</v>
      </c>
      <c r="G95" t="s">
        <v>577</v>
      </c>
      <c r="H95" t="s">
        <v>581</v>
      </c>
      <c r="I95" t="s">
        <v>590</v>
      </c>
      <c r="J95">
        <v>-11.521966666666669</v>
      </c>
      <c r="K95">
        <v>-75.908011111111122</v>
      </c>
    </row>
    <row r="96" spans="1:11" x14ac:dyDescent="0.25">
      <c r="A96" s="84" t="s">
        <v>687</v>
      </c>
      <c r="B96" s="84" t="s">
        <v>538</v>
      </c>
      <c r="C96" s="84" t="s">
        <v>467</v>
      </c>
      <c r="D96" s="84" t="s">
        <v>467</v>
      </c>
      <c r="E96" s="84" t="s">
        <v>470</v>
      </c>
      <c r="F96" s="84" t="s">
        <v>545</v>
      </c>
      <c r="G96" s="84" t="s">
        <v>577</v>
      </c>
      <c r="H96" s="84" t="s">
        <v>581</v>
      </c>
      <c r="I96" s="84" t="s">
        <v>590</v>
      </c>
      <c r="J96" s="84">
        <v>-11.521966666666669</v>
      </c>
      <c r="K96" s="84">
        <v>-75.908011111111122</v>
      </c>
    </row>
    <row r="97" spans="1:11" x14ac:dyDescent="0.25">
      <c r="A97" t="s">
        <v>688</v>
      </c>
      <c r="B97" t="s">
        <v>539</v>
      </c>
      <c r="C97" t="s">
        <v>467</v>
      </c>
      <c r="D97" t="s">
        <v>467</v>
      </c>
      <c r="E97" t="s">
        <v>470</v>
      </c>
      <c r="F97" t="s">
        <v>545</v>
      </c>
      <c r="G97" t="s">
        <v>577</v>
      </c>
      <c r="H97" t="s">
        <v>578</v>
      </c>
      <c r="I97" t="s">
        <v>539</v>
      </c>
      <c r="J97">
        <v>-11.521966666666669</v>
      </c>
      <c r="K97">
        <v>-75.908011111111122</v>
      </c>
    </row>
    <row r="98" spans="1:11" x14ac:dyDescent="0.25">
      <c r="A98" s="84" t="s">
        <v>689</v>
      </c>
      <c r="B98" s="84" t="s">
        <v>537</v>
      </c>
      <c r="C98" s="84" t="s">
        <v>467</v>
      </c>
      <c r="D98" s="84" t="s">
        <v>482</v>
      </c>
      <c r="E98" s="84" t="s">
        <v>462</v>
      </c>
      <c r="F98" s="84" t="s">
        <v>448</v>
      </c>
      <c r="G98" s="84" t="s">
        <v>577</v>
      </c>
      <c r="H98" s="84" t="s">
        <v>581</v>
      </c>
      <c r="I98" s="84" t="s">
        <v>590</v>
      </c>
      <c r="J98" s="84">
        <v>-12.40056666666667</v>
      </c>
      <c r="K98" s="84">
        <v>-74.874197222222222</v>
      </c>
    </row>
    <row r="99" spans="1:11" x14ac:dyDescent="0.25">
      <c r="A99" t="s">
        <v>690</v>
      </c>
      <c r="B99" t="s">
        <v>538</v>
      </c>
      <c r="C99" t="s">
        <v>467</v>
      </c>
      <c r="D99" t="s">
        <v>482</v>
      </c>
      <c r="E99" t="s">
        <v>462</v>
      </c>
      <c r="F99" t="s">
        <v>448</v>
      </c>
      <c r="G99" t="s">
        <v>577</v>
      </c>
      <c r="H99" t="s">
        <v>581</v>
      </c>
      <c r="I99" t="s">
        <v>590</v>
      </c>
      <c r="J99">
        <v>-12.40056666666667</v>
      </c>
      <c r="K99">
        <v>-74.874197222222222</v>
      </c>
    </row>
    <row r="100" spans="1:11" x14ac:dyDescent="0.25">
      <c r="A100" s="84" t="s">
        <v>691</v>
      </c>
      <c r="B100" s="84" t="s">
        <v>560</v>
      </c>
      <c r="C100" s="84" t="s">
        <v>467</v>
      </c>
      <c r="D100" s="84" t="s">
        <v>482</v>
      </c>
      <c r="E100" s="84" t="s">
        <v>462</v>
      </c>
      <c r="F100" s="84" t="s">
        <v>448</v>
      </c>
      <c r="G100" s="84" t="s">
        <v>577</v>
      </c>
      <c r="H100" s="84" t="s">
        <v>578</v>
      </c>
      <c r="I100" s="84" t="s">
        <v>590</v>
      </c>
      <c r="J100" s="84">
        <v>-12.40056666666667</v>
      </c>
      <c r="K100" s="84">
        <v>-74.874197222222222</v>
      </c>
    </row>
    <row r="101" spans="1:11" x14ac:dyDescent="0.25">
      <c r="A101" t="s">
        <v>692</v>
      </c>
      <c r="B101" t="s">
        <v>564</v>
      </c>
      <c r="C101" t="s">
        <v>467</v>
      </c>
      <c r="D101" t="s">
        <v>482</v>
      </c>
      <c r="E101" t="s">
        <v>462</v>
      </c>
      <c r="F101" t="s">
        <v>448</v>
      </c>
      <c r="G101" t="s">
        <v>577</v>
      </c>
      <c r="H101" t="s">
        <v>578</v>
      </c>
      <c r="I101" t="s">
        <v>539</v>
      </c>
      <c r="J101">
        <v>-12.40056666666667</v>
      </c>
      <c r="K101">
        <v>-74.874197222222222</v>
      </c>
    </row>
    <row r="102" spans="1:11" x14ac:dyDescent="0.25">
      <c r="A102" s="84" t="s">
        <v>693</v>
      </c>
      <c r="B102" s="84" t="s">
        <v>568</v>
      </c>
      <c r="C102" s="84" t="s">
        <v>467</v>
      </c>
      <c r="D102" s="84" t="s">
        <v>482</v>
      </c>
      <c r="E102" s="84" t="s">
        <v>462</v>
      </c>
      <c r="F102" s="84" t="s">
        <v>565</v>
      </c>
      <c r="G102" s="84" t="s">
        <v>577</v>
      </c>
      <c r="H102" s="84" t="s">
        <v>578</v>
      </c>
      <c r="I102" s="84" t="s">
        <v>539</v>
      </c>
      <c r="J102" s="84">
        <v>-12.399213888888889</v>
      </c>
      <c r="K102" s="84">
        <v>-74.868161111111107</v>
      </c>
    </row>
  </sheetData>
  <autoFilter ref="A1:K102" xr:uid="{00000000-0009-0000-0000-000000000000}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B0696-56A6-4C05-92E4-9CD0D36DC769}">
  <dimension ref="A1:L102"/>
  <sheetViews>
    <sheetView workbookViewId="0">
      <pane ySplit="1" topLeftCell="A2" activePane="bottomLeft" state="frozen"/>
      <selection activeCell="B22" sqref="B22"/>
      <selection pane="bottomLeft" activeCell="B22" sqref="B22"/>
    </sheetView>
  </sheetViews>
  <sheetFormatPr baseColWidth="10" defaultColWidth="9.140625" defaultRowHeight="15" x14ac:dyDescent="0.25"/>
  <cols>
    <col min="1" max="2" width="10" customWidth="1"/>
    <col min="3" max="3" width="55" customWidth="1"/>
    <col min="4" max="4" width="24" customWidth="1"/>
    <col min="5" max="5" width="26.140625" customWidth="1"/>
    <col min="6" max="6" width="14.5703125" customWidth="1"/>
    <col min="7" max="7" width="20.85546875" customWidth="1"/>
    <col min="8" max="8" width="15.5703125" customWidth="1"/>
    <col min="9" max="9" width="13.42578125" customWidth="1"/>
    <col min="10" max="10" width="14.5703125" customWidth="1"/>
    <col min="11" max="11" width="23" customWidth="1"/>
    <col min="12" max="12" width="21.85546875" customWidth="1"/>
  </cols>
  <sheetData>
    <row r="1" spans="1:12" x14ac:dyDescent="0.25">
      <c r="A1" s="86" t="s">
        <v>694</v>
      </c>
      <c r="B1" s="86" t="s">
        <v>569</v>
      </c>
      <c r="C1" s="86" t="s">
        <v>441</v>
      </c>
      <c r="D1" s="86" t="s">
        <v>19</v>
      </c>
      <c r="E1" s="86" t="s">
        <v>573</v>
      </c>
      <c r="F1" s="86" t="s">
        <v>572</v>
      </c>
      <c r="G1" s="86" t="s">
        <v>570</v>
      </c>
      <c r="H1" s="86" t="s">
        <v>434</v>
      </c>
      <c r="I1" s="86" t="s">
        <v>297</v>
      </c>
      <c r="J1" s="86" t="s">
        <v>571</v>
      </c>
      <c r="K1" s="86" t="s">
        <v>574</v>
      </c>
      <c r="L1" s="86" t="s">
        <v>575</v>
      </c>
    </row>
    <row r="2" spans="1:12" x14ac:dyDescent="0.25">
      <c r="A2" s="84">
        <v>1</v>
      </c>
      <c r="B2" s="84" t="s">
        <v>576</v>
      </c>
      <c r="C2" s="84" t="s">
        <v>444</v>
      </c>
      <c r="D2" s="84" t="s">
        <v>578</v>
      </c>
      <c r="E2" s="84" t="s">
        <v>579</v>
      </c>
      <c r="F2" s="84" t="s">
        <v>577</v>
      </c>
      <c r="G2" s="84" t="s">
        <v>467</v>
      </c>
      <c r="H2" s="84" t="s">
        <v>467</v>
      </c>
      <c r="I2" s="84" t="s">
        <v>445</v>
      </c>
      <c r="J2" s="84" t="s">
        <v>516</v>
      </c>
      <c r="K2" s="84">
        <v>-12.059530555555559</v>
      </c>
      <c r="L2" s="84">
        <v>-74.888055555555567</v>
      </c>
    </row>
    <row r="3" spans="1:12" x14ac:dyDescent="0.25">
      <c r="A3">
        <v>2</v>
      </c>
      <c r="B3" t="s">
        <v>580</v>
      </c>
      <c r="C3" t="s">
        <v>446</v>
      </c>
      <c r="D3" t="s">
        <v>581</v>
      </c>
      <c r="E3" t="s">
        <v>579</v>
      </c>
      <c r="F3" t="s">
        <v>577</v>
      </c>
      <c r="G3" t="s">
        <v>467</v>
      </c>
      <c r="H3" t="s">
        <v>467</v>
      </c>
      <c r="I3" t="s">
        <v>445</v>
      </c>
      <c r="J3" t="s">
        <v>516</v>
      </c>
      <c r="K3">
        <v>-12.059530555555559</v>
      </c>
      <c r="L3">
        <v>-74.888055555555567</v>
      </c>
    </row>
    <row r="4" spans="1:12" x14ac:dyDescent="0.25">
      <c r="A4" s="84">
        <v>3</v>
      </c>
      <c r="B4" s="84" t="s">
        <v>582</v>
      </c>
      <c r="C4" s="84" t="s">
        <v>450</v>
      </c>
      <c r="D4" s="84" t="s">
        <v>581</v>
      </c>
      <c r="E4" s="84" t="s">
        <v>579</v>
      </c>
      <c r="F4" s="84" t="s">
        <v>577</v>
      </c>
      <c r="G4" s="84" t="s">
        <v>467</v>
      </c>
      <c r="H4" s="84" t="s">
        <v>467</v>
      </c>
      <c r="I4" s="84" t="s">
        <v>445</v>
      </c>
      <c r="J4" s="84" t="s">
        <v>516</v>
      </c>
      <c r="K4" s="84">
        <v>-12.059530555555559</v>
      </c>
      <c r="L4" s="84">
        <v>-74.888055555555567</v>
      </c>
    </row>
    <row r="5" spans="1:12" x14ac:dyDescent="0.25">
      <c r="A5">
        <v>4</v>
      </c>
      <c r="B5" t="s">
        <v>583</v>
      </c>
      <c r="C5" t="s">
        <v>451</v>
      </c>
      <c r="D5" t="s">
        <v>581</v>
      </c>
      <c r="E5" t="s">
        <v>579</v>
      </c>
      <c r="F5" t="s">
        <v>584</v>
      </c>
      <c r="G5" t="s">
        <v>467</v>
      </c>
      <c r="H5" t="s">
        <v>467</v>
      </c>
      <c r="I5" t="s">
        <v>445</v>
      </c>
      <c r="J5" t="s">
        <v>516</v>
      </c>
      <c r="K5">
        <v>-12.059530555555559</v>
      </c>
      <c r="L5">
        <v>-74.888055555555567</v>
      </c>
    </row>
    <row r="6" spans="1:12" x14ac:dyDescent="0.25">
      <c r="A6" s="84">
        <v>5</v>
      </c>
      <c r="B6" s="84" t="s">
        <v>585</v>
      </c>
      <c r="C6" s="84" t="s">
        <v>452</v>
      </c>
      <c r="D6" s="84" t="s">
        <v>586</v>
      </c>
      <c r="E6" s="84" t="s">
        <v>579</v>
      </c>
      <c r="F6" s="84" t="s">
        <v>577</v>
      </c>
      <c r="G6" s="84" t="s">
        <v>467</v>
      </c>
      <c r="H6" s="84" t="s">
        <v>467</v>
      </c>
      <c r="I6" s="84" t="s">
        <v>445</v>
      </c>
      <c r="J6" s="84" t="s">
        <v>516</v>
      </c>
      <c r="K6" s="84">
        <v>-12.059530555555559</v>
      </c>
      <c r="L6" s="84">
        <v>-74.888055555555567</v>
      </c>
    </row>
    <row r="7" spans="1:12" x14ac:dyDescent="0.25">
      <c r="A7">
        <v>6</v>
      </c>
      <c r="B7" t="s">
        <v>587</v>
      </c>
      <c r="C7" t="s">
        <v>453</v>
      </c>
      <c r="D7" t="s">
        <v>586</v>
      </c>
      <c r="E7" t="s">
        <v>579</v>
      </c>
      <c r="F7" t="s">
        <v>577</v>
      </c>
      <c r="G7" t="s">
        <v>467</v>
      </c>
      <c r="H7" t="s">
        <v>467</v>
      </c>
      <c r="I7" t="s">
        <v>445</v>
      </c>
      <c r="J7" t="s">
        <v>516</v>
      </c>
      <c r="K7">
        <v>-12.059530555555559</v>
      </c>
      <c r="L7">
        <v>-74.888055555555567</v>
      </c>
    </row>
    <row r="8" spans="1:12" x14ac:dyDescent="0.25">
      <c r="A8" s="84">
        <v>7</v>
      </c>
      <c r="B8" s="84" t="s">
        <v>588</v>
      </c>
      <c r="C8" s="84" t="s">
        <v>454</v>
      </c>
      <c r="D8" s="84" t="s">
        <v>589</v>
      </c>
      <c r="E8" s="84" t="s">
        <v>590</v>
      </c>
      <c r="F8" s="84" t="s">
        <v>577</v>
      </c>
      <c r="G8" s="84" t="s">
        <v>467</v>
      </c>
      <c r="H8" s="84" t="s">
        <v>467</v>
      </c>
      <c r="I8" s="84" t="s">
        <v>445</v>
      </c>
      <c r="J8" s="84" t="s">
        <v>445</v>
      </c>
      <c r="K8" s="84">
        <v>-12.06148055555556</v>
      </c>
      <c r="L8" s="84">
        <v>-75.200372222222228</v>
      </c>
    </row>
    <row r="9" spans="1:12" x14ac:dyDescent="0.25">
      <c r="A9">
        <v>8</v>
      </c>
      <c r="B9" t="s">
        <v>591</v>
      </c>
      <c r="C9" t="s">
        <v>455</v>
      </c>
      <c r="D9" t="s">
        <v>589</v>
      </c>
      <c r="E9" t="s">
        <v>590</v>
      </c>
      <c r="F9" t="s">
        <v>577</v>
      </c>
      <c r="G9" t="s">
        <v>467</v>
      </c>
      <c r="H9" t="s">
        <v>467</v>
      </c>
      <c r="I9" t="s">
        <v>445</v>
      </c>
      <c r="J9" t="s">
        <v>445</v>
      </c>
      <c r="K9">
        <v>-12.06148055555556</v>
      </c>
      <c r="L9">
        <v>-75.200372222222228</v>
      </c>
    </row>
    <row r="10" spans="1:12" x14ac:dyDescent="0.25">
      <c r="A10" s="84">
        <v>9</v>
      </c>
      <c r="B10" s="84" t="s">
        <v>592</v>
      </c>
      <c r="C10" s="84" t="s">
        <v>456</v>
      </c>
      <c r="D10" s="84" t="s">
        <v>589</v>
      </c>
      <c r="E10" s="84" t="s">
        <v>590</v>
      </c>
      <c r="F10" s="84" t="s">
        <v>577</v>
      </c>
      <c r="G10" s="84" t="s">
        <v>467</v>
      </c>
      <c r="H10" s="84" t="s">
        <v>467</v>
      </c>
      <c r="I10" s="84" t="s">
        <v>445</v>
      </c>
      <c r="J10" s="84" t="s">
        <v>445</v>
      </c>
      <c r="K10" s="84">
        <v>-12.06148055555556</v>
      </c>
      <c r="L10" s="84">
        <v>-75.200372222222228</v>
      </c>
    </row>
    <row r="11" spans="1:12" x14ac:dyDescent="0.25">
      <c r="A11">
        <v>10</v>
      </c>
      <c r="B11" t="s">
        <v>593</v>
      </c>
      <c r="C11" t="s">
        <v>457</v>
      </c>
      <c r="D11" t="s">
        <v>589</v>
      </c>
      <c r="E11" t="s">
        <v>590</v>
      </c>
      <c r="F11" t="s">
        <v>577</v>
      </c>
      <c r="G11" t="s">
        <v>467</v>
      </c>
      <c r="H11" t="s">
        <v>467</v>
      </c>
      <c r="I11" t="s">
        <v>445</v>
      </c>
      <c r="J11" t="s">
        <v>445</v>
      </c>
      <c r="K11">
        <v>-12.06148055555556</v>
      </c>
      <c r="L11">
        <v>-75.200372222222228</v>
      </c>
    </row>
    <row r="12" spans="1:12" x14ac:dyDescent="0.25">
      <c r="A12" s="84">
        <v>11</v>
      </c>
      <c r="B12" s="84" t="s">
        <v>594</v>
      </c>
      <c r="C12" s="84" t="s">
        <v>458</v>
      </c>
      <c r="D12" s="84" t="s">
        <v>589</v>
      </c>
      <c r="E12" s="84" t="s">
        <v>590</v>
      </c>
      <c r="F12" s="84" t="s">
        <v>577</v>
      </c>
      <c r="G12" s="84" t="s">
        <v>467</v>
      </c>
      <c r="H12" s="84" t="s">
        <v>467</v>
      </c>
      <c r="I12" s="84" t="s">
        <v>445</v>
      </c>
      <c r="J12" s="84" t="s">
        <v>445</v>
      </c>
      <c r="K12" s="84">
        <v>-12.06148055555556</v>
      </c>
      <c r="L12" s="84">
        <v>-75.200372222222228</v>
      </c>
    </row>
    <row r="13" spans="1:12" x14ac:dyDescent="0.25">
      <c r="A13">
        <v>12</v>
      </c>
      <c r="B13" t="s">
        <v>595</v>
      </c>
      <c r="C13" t="s">
        <v>459</v>
      </c>
      <c r="D13" t="s">
        <v>596</v>
      </c>
      <c r="E13" t="s">
        <v>590</v>
      </c>
      <c r="F13" t="s">
        <v>577</v>
      </c>
      <c r="G13" t="s">
        <v>467</v>
      </c>
      <c r="H13" t="s">
        <v>467</v>
      </c>
      <c r="I13" t="s">
        <v>445</v>
      </c>
      <c r="J13" t="s">
        <v>445</v>
      </c>
      <c r="K13">
        <v>-12.06148055555556</v>
      </c>
      <c r="L13">
        <v>-75.200372222222228</v>
      </c>
    </row>
    <row r="14" spans="1:12" x14ac:dyDescent="0.25">
      <c r="A14" s="84">
        <v>13</v>
      </c>
      <c r="B14" s="84" t="s">
        <v>597</v>
      </c>
      <c r="C14" s="84" t="s">
        <v>460</v>
      </c>
      <c r="D14" s="84" t="s">
        <v>598</v>
      </c>
      <c r="E14" s="84" t="s">
        <v>590</v>
      </c>
      <c r="F14" s="84" t="s">
        <v>577</v>
      </c>
      <c r="G14" s="84" t="s">
        <v>467</v>
      </c>
      <c r="H14" s="84" t="s">
        <v>467</v>
      </c>
      <c r="I14" s="84" t="s">
        <v>445</v>
      </c>
      <c r="J14" s="84" t="s">
        <v>445</v>
      </c>
      <c r="K14" s="84">
        <v>-12.06148055555556</v>
      </c>
      <c r="L14" s="84">
        <v>-75.200372222222228</v>
      </c>
    </row>
    <row r="15" spans="1:12" x14ac:dyDescent="0.25">
      <c r="A15">
        <v>14</v>
      </c>
      <c r="B15" t="s">
        <v>599</v>
      </c>
      <c r="C15" t="s">
        <v>461</v>
      </c>
      <c r="D15" t="s">
        <v>581</v>
      </c>
      <c r="E15" t="s">
        <v>590</v>
      </c>
      <c r="F15" t="s">
        <v>577</v>
      </c>
      <c r="G15" t="s">
        <v>467</v>
      </c>
      <c r="H15" t="s">
        <v>467</v>
      </c>
      <c r="I15" t="s">
        <v>445</v>
      </c>
      <c r="J15" t="s">
        <v>445</v>
      </c>
      <c r="K15">
        <v>-12.06148055555556</v>
      </c>
      <c r="L15">
        <v>-75.200372222222228</v>
      </c>
    </row>
    <row r="16" spans="1:12" x14ac:dyDescent="0.25">
      <c r="A16" s="84">
        <v>15</v>
      </c>
      <c r="B16" s="84" t="s">
        <v>600</v>
      </c>
      <c r="C16" s="84" t="s">
        <v>463</v>
      </c>
      <c r="D16" s="84" t="s">
        <v>581</v>
      </c>
      <c r="E16" s="84" t="s">
        <v>590</v>
      </c>
      <c r="F16" s="84" t="s">
        <v>584</v>
      </c>
      <c r="G16" s="84" t="s">
        <v>467</v>
      </c>
      <c r="H16" s="84" t="s">
        <v>467</v>
      </c>
      <c r="I16" s="84" t="s">
        <v>445</v>
      </c>
      <c r="J16" s="84" t="s">
        <v>516</v>
      </c>
      <c r="K16" s="84">
        <v>-12.059261111111111</v>
      </c>
      <c r="L16" s="84">
        <v>-75.215338888888894</v>
      </c>
    </row>
    <row r="17" spans="1:12" x14ac:dyDescent="0.25">
      <c r="A17">
        <v>16</v>
      </c>
      <c r="B17" t="s">
        <v>601</v>
      </c>
      <c r="C17" t="s">
        <v>464</v>
      </c>
      <c r="D17" t="s">
        <v>581</v>
      </c>
      <c r="E17" t="s">
        <v>590</v>
      </c>
      <c r="F17" t="s">
        <v>584</v>
      </c>
      <c r="G17" t="s">
        <v>467</v>
      </c>
      <c r="H17" t="s">
        <v>467</v>
      </c>
      <c r="I17" t="s">
        <v>445</v>
      </c>
      <c r="J17" t="s">
        <v>516</v>
      </c>
      <c r="K17">
        <v>-13.059261111111111</v>
      </c>
      <c r="L17">
        <v>-76.215338888888894</v>
      </c>
    </row>
    <row r="18" spans="1:12" x14ac:dyDescent="0.25">
      <c r="A18" s="84">
        <v>17</v>
      </c>
      <c r="B18" s="84" t="s">
        <v>602</v>
      </c>
      <c r="C18" s="84" t="s">
        <v>465</v>
      </c>
      <c r="D18" s="84" t="s">
        <v>581</v>
      </c>
      <c r="E18" s="84" t="s">
        <v>590</v>
      </c>
      <c r="F18" s="84" t="s">
        <v>577</v>
      </c>
      <c r="G18" s="84" t="s">
        <v>467</v>
      </c>
      <c r="H18" s="84" t="s">
        <v>467</v>
      </c>
      <c r="I18" s="84" t="s">
        <v>445</v>
      </c>
      <c r="J18" s="84" t="s">
        <v>445</v>
      </c>
      <c r="K18" s="84">
        <v>-12.06148055555556</v>
      </c>
      <c r="L18" s="84">
        <v>-75.200372222222228</v>
      </c>
    </row>
    <row r="19" spans="1:12" x14ac:dyDescent="0.25">
      <c r="A19">
        <v>18</v>
      </c>
      <c r="B19" t="s">
        <v>603</v>
      </c>
      <c r="C19" t="s">
        <v>471</v>
      </c>
      <c r="D19" t="s">
        <v>581</v>
      </c>
      <c r="E19" t="s">
        <v>590</v>
      </c>
      <c r="F19" t="s">
        <v>577</v>
      </c>
      <c r="G19" t="s">
        <v>467</v>
      </c>
      <c r="H19" t="s">
        <v>467</v>
      </c>
      <c r="I19" t="s">
        <v>445</v>
      </c>
      <c r="J19" t="s">
        <v>445</v>
      </c>
      <c r="K19">
        <v>-12.06148055555556</v>
      </c>
      <c r="L19">
        <v>-75.200372222222228</v>
      </c>
    </row>
    <row r="20" spans="1:12" x14ac:dyDescent="0.25">
      <c r="A20" s="84">
        <v>19</v>
      </c>
      <c r="B20" s="84" t="s">
        <v>604</v>
      </c>
      <c r="C20" s="84" t="s">
        <v>472</v>
      </c>
      <c r="D20" s="84" t="s">
        <v>581</v>
      </c>
      <c r="E20" s="84" t="s">
        <v>590</v>
      </c>
      <c r="F20" s="84" t="s">
        <v>577</v>
      </c>
      <c r="G20" s="84" t="s">
        <v>467</v>
      </c>
      <c r="H20" s="84" t="s">
        <v>467</v>
      </c>
      <c r="I20" s="84" t="s">
        <v>445</v>
      </c>
      <c r="J20" s="84" t="s">
        <v>445</v>
      </c>
      <c r="K20" s="84">
        <v>-12.06148055555556</v>
      </c>
      <c r="L20" s="84">
        <v>-75.200372222222228</v>
      </c>
    </row>
    <row r="21" spans="1:12" x14ac:dyDescent="0.25">
      <c r="A21">
        <v>20</v>
      </c>
      <c r="B21" t="s">
        <v>605</v>
      </c>
      <c r="C21" t="s">
        <v>473</v>
      </c>
      <c r="D21" t="s">
        <v>581</v>
      </c>
      <c r="E21" t="s">
        <v>590</v>
      </c>
      <c r="F21" t="s">
        <v>577</v>
      </c>
      <c r="G21" t="s">
        <v>467</v>
      </c>
      <c r="H21" t="s">
        <v>467</v>
      </c>
      <c r="I21" t="s">
        <v>445</v>
      </c>
      <c r="J21" t="s">
        <v>445</v>
      </c>
      <c r="K21">
        <v>-12.06148055555556</v>
      </c>
      <c r="L21">
        <v>-75.200372222222228</v>
      </c>
    </row>
    <row r="22" spans="1:12" x14ac:dyDescent="0.25">
      <c r="A22" s="84">
        <v>21</v>
      </c>
      <c r="B22" s="84" t="s">
        <v>606</v>
      </c>
      <c r="C22" s="84" t="s">
        <v>474</v>
      </c>
      <c r="D22" s="84" t="s">
        <v>581</v>
      </c>
      <c r="E22" s="84" t="s">
        <v>590</v>
      </c>
      <c r="F22" s="84" t="s">
        <v>577</v>
      </c>
      <c r="G22" s="84" t="s">
        <v>467</v>
      </c>
      <c r="H22" s="84" t="s">
        <v>467</v>
      </c>
      <c r="I22" s="84" t="s">
        <v>445</v>
      </c>
      <c r="J22" s="84" t="s">
        <v>445</v>
      </c>
      <c r="K22" s="84">
        <v>-12.06148055555556</v>
      </c>
      <c r="L22" s="84">
        <v>-75.200372222222228</v>
      </c>
    </row>
    <row r="23" spans="1:12" x14ac:dyDescent="0.25">
      <c r="A23">
        <v>22</v>
      </c>
      <c r="B23" t="s">
        <v>607</v>
      </c>
      <c r="C23" t="s">
        <v>475</v>
      </c>
      <c r="D23" t="s">
        <v>581</v>
      </c>
      <c r="E23" t="s">
        <v>590</v>
      </c>
      <c r="F23" t="s">
        <v>577</v>
      </c>
      <c r="G23" t="s">
        <v>467</v>
      </c>
      <c r="H23" t="s">
        <v>467</v>
      </c>
      <c r="I23" t="s">
        <v>445</v>
      </c>
      <c r="J23" t="s">
        <v>445</v>
      </c>
      <c r="K23">
        <v>-12.06148055555556</v>
      </c>
      <c r="L23">
        <v>-75.200372222222228</v>
      </c>
    </row>
    <row r="24" spans="1:12" x14ac:dyDescent="0.25">
      <c r="A24" s="84">
        <v>23</v>
      </c>
      <c r="B24" s="84" t="s">
        <v>608</v>
      </c>
      <c r="C24" s="84" t="s">
        <v>476</v>
      </c>
      <c r="D24" s="84" t="s">
        <v>581</v>
      </c>
      <c r="E24" s="84" t="s">
        <v>590</v>
      </c>
      <c r="F24" s="84" t="s">
        <v>577</v>
      </c>
      <c r="G24" s="84" t="s">
        <v>467</v>
      </c>
      <c r="H24" s="84" t="s">
        <v>467</v>
      </c>
      <c r="I24" s="84" t="s">
        <v>445</v>
      </c>
      <c r="J24" s="84" t="s">
        <v>516</v>
      </c>
      <c r="K24" s="84">
        <v>-12.059261111111111</v>
      </c>
      <c r="L24" s="84">
        <v>-75.215338888888894</v>
      </c>
    </row>
    <row r="25" spans="1:12" x14ac:dyDescent="0.25">
      <c r="A25">
        <v>24</v>
      </c>
      <c r="B25" t="s">
        <v>609</v>
      </c>
      <c r="C25" t="s">
        <v>483</v>
      </c>
      <c r="D25" t="s">
        <v>581</v>
      </c>
      <c r="E25" t="s">
        <v>590</v>
      </c>
      <c r="F25" t="s">
        <v>577</v>
      </c>
      <c r="G25" t="s">
        <v>467</v>
      </c>
      <c r="H25" t="s">
        <v>467</v>
      </c>
      <c r="I25" t="s">
        <v>445</v>
      </c>
      <c r="J25" t="s">
        <v>516</v>
      </c>
      <c r="K25">
        <v>-13.059261111111111</v>
      </c>
      <c r="L25">
        <v>-76.215338888888894</v>
      </c>
    </row>
    <row r="26" spans="1:12" x14ac:dyDescent="0.25">
      <c r="A26" s="84">
        <v>25</v>
      </c>
      <c r="B26" s="84" t="s">
        <v>610</v>
      </c>
      <c r="C26" s="84" t="s">
        <v>484</v>
      </c>
      <c r="D26" s="84" t="s">
        <v>581</v>
      </c>
      <c r="E26" s="84" t="s">
        <v>590</v>
      </c>
      <c r="F26" s="84" t="s">
        <v>577</v>
      </c>
      <c r="G26" s="84" t="s">
        <v>467</v>
      </c>
      <c r="H26" s="84" t="s">
        <v>467</v>
      </c>
      <c r="I26" s="84" t="s">
        <v>445</v>
      </c>
      <c r="J26" s="84" t="s">
        <v>516</v>
      </c>
      <c r="K26" s="84">
        <v>-14.059261111111111</v>
      </c>
      <c r="L26" s="84">
        <v>-77.215338888888894</v>
      </c>
    </row>
    <row r="27" spans="1:12" x14ac:dyDescent="0.25">
      <c r="A27">
        <v>26</v>
      </c>
      <c r="B27" t="s">
        <v>611</v>
      </c>
      <c r="C27" t="s">
        <v>485</v>
      </c>
      <c r="D27" t="s">
        <v>581</v>
      </c>
      <c r="E27" t="s">
        <v>590</v>
      </c>
      <c r="F27" t="s">
        <v>577</v>
      </c>
      <c r="G27" t="s">
        <v>467</v>
      </c>
      <c r="H27" t="s">
        <v>467</v>
      </c>
      <c r="I27" t="s">
        <v>445</v>
      </c>
      <c r="J27" t="s">
        <v>445</v>
      </c>
      <c r="K27">
        <v>-12.06148055555556</v>
      </c>
      <c r="L27">
        <v>-75.200372222222228</v>
      </c>
    </row>
    <row r="28" spans="1:12" x14ac:dyDescent="0.25">
      <c r="A28" s="84">
        <v>27</v>
      </c>
      <c r="B28" s="84" t="s">
        <v>612</v>
      </c>
      <c r="C28" s="84" t="s">
        <v>486</v>
      </c>
      <c r="D28" s="84" t="s">
        <v>581</v>
      </c>
      <c r="E28" s="84" t="s">
        <v>590</v>
      </c>
      <c r="F28" s="84" t="s">
        <v>577</v>
      </c>
      <c r="G28" s="84" t="s">
        <v>467</v>
      </c>
      <c r="H28" s="84" t="s">
        <v>467</v>
      </c>
      <c r="I28" s="84" t="s">
        <v>445</v>
      </c>
      <c r="J28" s="84" t="s">
        <v>445</v>
      </c>
      <c r="K28" s="84">
        <v>-12.06148055555556</v>
      </c>
      <c r="L28" s="84">
        <v>-75.200372222222228</v>
      </c>
    </row>
    <row r="29" spans="1:12" x14ac:dyDescent="0.25">
      <c r="A29">
        <v>28</v>
      </c>
      <c r="B29" t="s">
        <v>613</v>
      </c>
      <c r="C29" t="s">
        <v>487</v>
      </c>
      <c r="D29" t="s">
        <v>581</v>
      </c>
      <c r="E29" t="s">
        <v>590</v>
      </c>
      <c r="F29" t="s">
        <v>577</v>
      </c>
      <c r="G29" t="s">
        <v>467</v>
      </c>
      <c r="H29" t="s">
        <v>467</v>
      </c>
      <c r="I29" t="s">
        <v>445</v>
      </c>
      <c r="J29" t="s">
        <v>445</v>
      </c>
      <c r="K29">
        <v>-12.06148055555556</v>
      </c>
      <c r="L29">
        <v>-75.200372222222228</v>
      </c>
    </row>
    <row r="30" spans="1:12" x14ac:dyDescent="0.25">
      <c r="A30" s="84">
        <v>29</v>
      </c>
      <c r="B30" s="84" t="s">
        <v>614</v>
      </c>
      <c r="C30" s="84" t="s">
        <v>488</v>
      </c>
      <c r="D30" s="84" t="s">
        <v>581</v>
      </c>
      <c r="E30" s="84" t="s">
        <v>590</v>
      </c>
      <c r="F30" s="84" t="s">
        <v>577</v>
      </c>
      <c r="G30" s="84" t="s">
        <v>467</v>
      </c>
      <c r="H30" s="84" t="s">
        <v>467</v>
      </c>
      <c r="I30" s="84" t="s">
        <v>445</v>
      </c>
      <c r="J30" s="84" t="s">
        <v>445</v>
      </c>
      <c r="K30" s="84">
        <v>-12.06148055555556</v>
      </c>
      <c r="L30" s="84">
        <v>-75.200372222222228</v>
      </c>
    </row>
    <row r="31" spans="1:12" x14ac:dyDescent="0.25">
      <c r="A31">
        <v>30</v>
      </c>
      <c r="B31" t="s">
        <v>615</v>
      </c>
      <c r="C31" t="s">
        <v>489</v>
      </c>
      <c r="D31" t="s">
        <v>581</v>
      </c>
      <c r="E31" t="s">
        <v>590</v>
      </c>
      <c r="F31" t="s">
        <v>577</v>
      </c>
      <c r="G31" t="s">
        <v>467</v>
      </c>
      <c r="H31" t="s">
        <v>467</v>
      </c>
      <c r="I31" t="s">
        <v>445</v>
      </c>
      <c r="J31" t="s">
        <v>445</v>
      </c>
      <c r="K31">
        <v>-12.06148055555556</v>
      </c>
      <c r="L31">
        <v>-75.200372222222228</v>
      </c>
    </row>
    <row r="32" spans="1:12" x14ac:dyDescent="0.25">
      <c r="A32" s="84">
        <v>31</v>
      </c>
      <c r="B32" s="84" t="s">
        <v>616</v>
      </c>
      <c r="C32" s="84" t="s">
        <v>490</v>
      </c>
      <c r="D32" s="84" t="s">
        <v>581</v>
      </c>
      <c r="E32" s="84" t="s">
        <v>590</v>
      </c>
      <c r="F32" s="84" t="s">
        <v>577</v>
      </c>
      <c r="G32" s="84" t="s">
        <v>467</v>
      </c>
      <c r="H32" s="84" t="s">
        <v>467</v>
      </c>
      <c r="I32" s="84" t="s">
        <v>445</v>
      </c>
      <c r="J32" s="84" t="s">
        <v>445</v>
      </c>
      <c r="K32" s="84">
        <v>-12.06148055555556</v>
      </c>
      <c r="L32" s="84">
        <v>-75.200372222222228</v>
      </c>
    </row>
    <row r="33" spans="1:12" x14ac:dyDescent="0.25">
      <c r="A33">
        <v>32</v>
      </c>
      <c r="B33" t="s">
        <v>617</v>
      </c>
      <c r="C33" t="s">
        <v>491</v>
      </c>
      <c r="D33" t="s">
        <v>581</v>
      </c>
      <c r="E33" t="s">
        <v>590</v>
      </c>
      <c r="F33" t="s">
        <v>577</v>
      </c>
      <c r="G33" t="s">
        <v>467</v>
      </c>
      <c r="H33" t="s">
        <v>467</v>
      </c>
      <c r="I33" t="s">
        <v>445</v>
      </c>
      <c r="J33" t="s">
        <v>445</v>
      </c>
      <c r="K33">
        <v>-12.06148055555556</v>
      </c>
      <c r="L33">
        <v>-75.200372222222228</v>
      </c>
    </row>
    <row r="34" spans="1:12" x14ac:dyDescent="0.25">
      <c r="A34" s="84">
        <v>33</v>
      </c>
      <c r="B34" s="84" t="s">
        <v>618</v>
      </c>
      <c r="C34" s="84" t="s">
        <v>492</v>
      </c>
      <c r="D34" s="84" t="s">
        <v>581</v>
      </c>
      <c r="E34" s="84" t="s">
        <v>590</v>
      </c>
      <c r="F34" s="84" t="s">
        <v>577</v>
      </c>
      <c r="G34" s="84" t="s">
        <v>467</v>
      </c>
      <c r="H34" s="84" t="s">
        <v>467</v>
      </c>
      <c r="I34" s="84" t="s">
        <v>445</v>
      </c>
      <c r="J34" s="84" t="s">
        <v>516</v>
      </c>
      <c r="K34" s="84">
        <v>-12.059261111111111</v>
      </c>
      <c r="L34" s="84">
        <v>-75.215338888888894</v>
      </c>
    </row>
    <row r="35" spans="1:12" x14ac:dyDescent="0.25">
      <c r="A35">
        <v>34</v>
      </c>
      <c r="B35" t="s">
        <v>619</v>
      </c>
      <c r="C35" t="s">
        <v>493</v>
      </c>
      <c r="D35" t="s">
        <v>581</v>
      </c>
      <c r="E35" t="s">
        <v>590</v>
      </c>
      <c r="F35" t="s">
        <v>577</v>
      </c>
      <c r="G35" t="s">
        <v>467</v>
      </c>
      <c r="H35" t="s">
        <v>467</v>
      </c>
      <c r="I35" t="s">
        <v>445</v>
      </c>
      <c r="J35" t="s">
        <v>516</v>
      </c>
      <c r="K35">
        <v>-13.059261111111111</v>
      </c>
      <c r="L35">
        <v>-76.215338888888894</v>
      </c>
    </row>
    <row r="36" spans="1:12" x14ac:dyDescent="0.25">
      <c r="A36" s="84">
        <v>35</v>
      </c>
      <c r="B36" s="84" t="s">
        <v>620</v>
      </c>
      <c r="C36" s="84" t="s">
        <v>494</v>
      </c>
      <c r="D36" s="84" t="s">
        <v>581</v>
      </c>
      <c r="E36" s="84" t="s">
        <v>590</v>
      </c>
      <c r="F36" s="84" t="s">
        <v>577</v>
      </c>
      <c r="G36" s="84" t="s">
        <v>467</v>
      </c>
      <c r="H36" s="84" t="s">
        <v>467</v>
      </c>
      <c r="I36" s="84" t="s">
        <v>445</v>
      </c>
      <c r="J36" s="84" t="s">
        <v>516</v>
      </c>
      <c r="K36" s="84">
        <v>-14.059261111111111</v>
      </c>
      <c r="L36" s="84">
        <v>-77.215338888888894</v>
      </c>
    </row>
    <row r="37" spans="1:12" x14ac:dyDescent="0.25">
      <c r="A37">
        <v>36</v>
      </c>
      <c r="B37" t="s">
        <v>621</v>
      </c>
      <c r="C37" t="s">
        <v>495</v>
      </c>
      <c r="D37" t="s">
        <v>586</v>
      </c>
      <c r="E37" t="s">
        <v>590</v>
      </c>
      <c r="F37" t="s">
        <v>577</v>
      </c>
      <c r="G37" t="s">
        <v>467</v>
      </c>
      <c r="H37" t="s">
        <v>467</v>
      </c>
      <c r="I37" t="s">
        <v>445</v>
      </c>
      <c r="J37" t="s">
        <v>516</v>
      </c>
      <c r="K37">
        <v>-12.060394444444441</v>
      </c>
      <c r="L37">
        <v>-75.215477777777778</v>
      </c>
    </row>
    <row r="38" spans="1:12" x14ac:dyDescent="0.25">
      <c r="A38" s="84">
        <v>37</v>
      </c>
      <c r="B38" s="84" t="s">
        <v>622</v>
      </c>
      <c r="C38" s="84" t="s">
        <v>496</v>
      </c>
      <c r="D38" s="84" t="s">
        <v>586</v>
      </c>
      <c r="E38" s="84" t="s">
        <v>590</v>
      </c>
      <c r="F38" s="84" t="s">
        <v>577</v>
      </c>
      <c r="G38" s="84" t="s">
        <v>467</v>
      </c>
      <c r="H38" s="84" t="s">
        <v>467</v>
      </c>
      <c r="I38" s="84" t="s">
        <v>445</v>
      </c>
      <c r="J38" s="84" t="s">
        <v>445</v>
      </c>
      <c r="K38" s="84">
        <v>-12.06148055555556</v>
      </c>
      <c r="L38" s="84">
        <v>-75.200372222222228</v>
      </c>
    </row>
    <row r="39" spans="1:12" x14ac:dyDescent="0.25">
      <c r="A39">
        <v>38</v>
      </c>
      <c r="B39" t="s">
        <v>623</v>
      </c>
      <c r="C39" t="s">
        <v>497</v>
      </c>
      <c r="D39" t="s">
        <v>586</v>
      </c>
      <c r="E39" t="s">
        <v>590</v>
      </c>
      <c r="F39" t="s">
        <v>577</v>
      </c>
      <c r="G39" t="s">
        <v>467</v>
      </c>
      <c r="H39" t="s">
        <v>467</v>
      </c>
      <c r="I39" t="s">
        <v>445</v>
      </c>
      <c r="J39" t="s">
        <v>445</v>
      </c>
      <c r="K39">
        <v>-12.06148055555556</v>
      </c>
      <c r="L39">
        <v>-75.200372222222228</v>
      </c>
    </row>
    <row r="40" spans="1:12" x14ac:dyDescent="0.25">
      <c r="A40" s="84">
        <v>39</v>
      </c>
      <c r="B40" s="84" t="s">
        <v>624</v>
      </c>
      <c r="C40" s="84" t="s">
        <v>498</v>
      </c>
      <c r="D40" s="84" t="s">
        <v>586</v>
      </c>
      <c r="E40" s="84" t="s">
        <v>590</v>
      </c>
      <c r="F40" s="84" t="s">
        <v>577</v>
      </c>
      <c r="G40" s="84" t="s">
        <v>467</v>
      </c>
      <c r="H40" s="84" t="s">
        <v>467</v>
      </c>
      <c r="I40" s="84" t="s">
        <v>445</v>
      </c>
      <c r="J40" s="84" t="s">
        <v>516</v>
      </c>
      <c r="K40" s="84">
        <v>-12.060394444444441</v>
      </c>
      <c r="L40" s="84">
        <v>-75.215477777777778</v>
      </c>
    </row>
    <row r="41" spans="1:12" x14ac:dyDescent="0.25">
      <c r="A41">
        <v>40</v>
      </c>
      <c r="B41" t="s">
        <v>625</v>
      </c>
      <c r="C41" t="s">
        <v>499</v>
      </c>
      <c r="D41" t="s">
        <v>586</v>
      </c>
      <c r="E41" t="s">
        <v>590</v>
      </c>
      <c r="F41" t="s">
        <v>584</v>
      </c>
      <c r="G41" t="s">
        <v>467</v>
      </c>
      <c r="H41" t="s">
        <v>467</v>
      </c>
      <c r="I41" t="s">
        <v>445</v>
      </c>
      <c r="J41" t="s">
        <v>516</v>
      </c>
      <c r="K41">
        <v>-12.060394444444441</v>
      </c>
      <c r="L41">
        <v>-75.215477777777778</v>
      </c>
    </row>
    <row r="42" spans="1:12" x14ac:dyDescent="0.25">
      <c r="A42" s="84">
        <v>41</v>
      </c>
      <c r="B42" s="84" t="s">
        <v>626</v>
      </c>
      <c r="C42" s="84" t="s">
        <v>500</v>
      </c>
      <c r="D42" s="84" t="s">
        <v>627</v>
      </c>
      <c r="E42" s="84" t="s">
        <v>590</v>
      </c>
      <c r="F42" s="84" t="s">
        <v>577</v>
      </c>
      <c r="G42" s="84" t="s">
        <v>467</v>
      </c>
      <c r="H42" s="84" t="s">
        <v>467</v>
      </c>
      <c r="I42" s="84" t="s">
        <v>445</v>
      </c>
      <c r="J42" s="84" t="s">
        <v>516</v>
      </c>
      <c r="K42" s="84">
        <v>-12.060380555555559</v>
      </c>
      <c r="L42" s="84">
        <v>-75.216983333333332</v>
      </c>
    </row>
    <row r="43" spans="1:12" x14ac:dyDescent="0.25">
      <c r="A43">
        <v>42</v>
      </c>
      <c r="B43" t="s">
        <v>628</v>
      </c>
      <c r="C43" t="s">
        <v>501</v>
      </c>
      <c r="D43" t="s">
        <v>627</v>
      </c>
      <c r="E43" t="s">
        <v>590</v>
      </c>
      <c r="F43" t="s">
        <v>577</v>
      </c>
      <c r="G43" t="s">
        <v>467</v>
      </c>
      <c r="H43" t="s">
        <v>467</v>
      </c>
      <c r="I43" t="s">
        <v>445</v>
      </c>
      <c r="J43" t="s">
        <v>516</v>
      </c>
      <c r="K43">
        <v>-12.060380555555559</v>
      </c>
      <c r="L43">
        <v>-75.216983333333332</v>
      </c>
    </row>
    <row r="44" spans="1:12" x14ac:dyDescent="0.25">
      <c r="A44" s="84">
        <v>43</v>
      </c>
      <c r="B44" s="84" t="s">
        <v>629</v>
      </c>
      <c r="C44" s="84" t="s">
        <v>502</v>
      </c>
      <c r="D44" s="84" t="s">
        <v>627</v>
      </c>
      <c r="E44" s="84" t="s">
        <v>590</v>
      </c>
      <c r="F44" s="84" t="s">
        <v>577</v>
      </c>
      <c r="G44" s="84" t="s">
        <v>467</v>
      </c>
      <c r="H44" s="84" t="s">
        <v>467</v>
      </c>
      <c r="I44" s="84" t="s">
        <v>445</v>
      </c>
      <c r="J44" s="84" t="s">
        <v>516</v>
      </c>
      <c r="K44" s="84">
        <v>-12.060380555555559</v>
      </c>
      <c r="L44" s="84">
        <v>-75.216983333333332</v>
      </c>
    </row>
    <row r="45" spans="1:12" x14ac:dyDescent="0.25">
      <c r="A45">
        <v>44</v>
      </c>
      <c r="B45" t="s">
        <v>630</v>
      </c>
      <c r="C45" t="s">
        <v>503</v>
      </c>
      <c r="D45" t="s">
        <v>627</v>
      </c>
      <c r="E45" t="s">
        <v>590</v>
      </c>
      <c r="F45" t="s">
        <v>577</v>
      </c>
      <c r="G45" t="s">
        <v>467</v>
      </c>
      <c r="H45" t="s">
        <v>467</v>
      </c>
      <c r="I45" t="s">
        <v>445</v>
      </c>
      <c r="J45" t="s">
        <v>516</v>
      </c>
      <c r="K45">
        <v>-12.060380555555559</v>
      </c>
      <c r="L45">
        <v>-75.216983333333332</v>
      </c>
    </row>
    <row r="46" spans="1:12" x14ac:dyDescent="0.25">
      <c r="A46" s="84">
        <v>45</v>
      </c>
      <c r="B46" s="84" t="s">
        <v>631</v>
      </c>
      <c r="C46" s="84" t="s">
        <v>504</v>
      </c>
      <c r="D46" s="84" t="s">
        <v>627</v>
      </c>
      <c r="E46" s="84" t="s">
        <v>590</v>
      </c>
      <c r="F46" s="84" t="s">
        <v>577</v>
      </c>
      <c r="G46" s="84" t="s">
        <v>467</v>
      </c>
      <c r="H46" s="84" t="s">
        <v>467</v>
      </c>
      <c r="I46" s="84" t="s">
        <v>445</v>
      </c>
      <c r="J46" s="84" t="s">
        <v>516</v>
      </c>
      <c r="K46" s="84">
        <v>-12.05902222222222</v>
      </c>
      <c r="L46" s="84">
        <v>-75.211077777777774</v>
      </c>
    </row>
    <row r="47" spans="1:12" x14ac:dyDescent="0.25">
      <c r="A47">
        <v>46</v>
      </c>
      <c r="B47" t="s">
        <v>632</v>
      </c>
      <c r="C47" t="s">
        <v>506</v>
      </c>
      <c r="D47" t="s">
        <v>627</v>
      </c>
      <c r="E47" t="s">
        <v>590</v>
      </c>
      <c r="F47" t="s">
        <v>577</v>
      </c>
      <c r="G47" t="s">
        <v>467</v>
      </c>
      <c r="H47" t="s">
        <v>467</v>
      </c>
      <c r="I47" t="s">
        <v>445</v>
      </c>
      <c r="J47" t="s">
        <v>516</v>
      </c>
      <c r="K47">
        <v>-12.05902222222222</v>
      </c>
      <c r="L47">
        <v>-75.211077777777774</v>
      </c>
    </row>
    <row r="48" spans="1:12" x14ac:dyDescent="0.25">
      <c r="A48" s="84">
        <v>47</v>
      </c>
      <c r="B48" s="84" t="s">
        <v>633</v>
      </c>
      <c r="C48" s="84" t="s">
        <v>507</v>
      </c>
      <c r="D48" s="84" t="s">
        <v>627</v>
      </c>
      <c r="E48" s="84" t="s">
        <v>590</v>
      </c>
      <c r="F48" s="84" t="s">
        <v>577</v>
      </c>
      <c r="G48" s="84" t="s">
        <v>467</v>
      </c>
      <c r="H48" s="84" t="s">
        <v>467</v>
      </c>
      <c r="I48" s="84" t="s">
        <v>445</v>
      </c>
      <c r="J48" s="84" t="s">
        <v>516</v>
      </c>
      <c r="K48" s="84">
        <v>-12.05902222222222</v>
      </c>
      <c r="L48" s="84">
        <v>-75.211077777777774</v>
      </c>
    </row>
    <row r="49" spans="1:12" x14ac:dyDescent="0.25">
      <c r="A49">
        <v>48</v>
      </c>
      <c r="B49" t="s">
        <v>634</v>
      </c>
      <c r="C49" t="s">
        <v>508</v>
      </c>
      <c r="D49" t="s">
        <v>627</v>
      </c>
      <c r="E49" t="s">
        <v>590</v>
      </c>
      <c r="F49" t="s">
        <v>577</v>
      </c>
      <c r="G49" t="s">
        <v>467</v>
      </c>
      <c r="H49" t="s">
        <v>467</v>
      </c>
      <c r="I49" t="s">
        <v>445</v>
      </c>
      <c r="J49" t="s">
        <v>516</v>
      </c>
      <c r="K49">
        <v>-12.05902222222222</v>
      </c>
      <c r="L49">
        <v>-75.211077777777774</v>
      </c>
    </row>
    <row r="50" spans="1:12" x14ac:dyDescent="0.25">
      <c r="A50" s="84">
        <v>49</v>
      </c>
      <c r="B50" s="84" t="s">
        <v>635</v>
      </c>
      <c r="C50" s="84" t="s">
        <v>509</v>
      </c>
      <c r="D50" s="84" t="s">
        <v>627</v>
      </c>
      <c r="E50" s="84" t="s">
        <v>590</v>
      </c>
      <c r="F50" s="84" t="s">
        <v>577</v>
      </c>
      <c r="G50" s="84" t="s">
        <v>467</v>
      </c>
      <c r="H50" s="84" t="s">
        <v>467</v>
      </c>
      <c r="I50" s="84" t="s">
        <v>445</v>
      </c>
      <c r="J50" s="84" t="s">
        <v>516</v>
      </c>
      <c r="K50" s="84">
        <v>-12.05902222222222</v>
      </c>
      <c r="L50" s="84">
        <v>-75.211077777777774</v>
      </c>
    </row>
    <row r="51" spans="1:12" x14ac:dyDescent="0.25">
      <c r="A51">
        <v>50</v>
      </c>
      <c r="B51" t="s">
        <v>636</v>
      </c>
      <c r="C51" t="s">
        <v>510</v>
      </c>
      <c r="D51" t="s">
        <v>627</v>
      </c>
      <c r="E51" t="s">
        <v>590</v>
      </c>
      <c r="F51" t="s">
        <v>577</v>
      </c>
      <c r="G51" t="s">
        <v>467</v>
      </c>
      <c r="H51" t="s">
        <v>467</v>
      </c>
      <c r="I51" t="s">
        <v>445</v>
      </c>
      <c r="J51" t="s">
        <v>516</v>
      </c>
      <c r="K51">
        <v>-12.05902222222222</v>
      </c>
      <c r="L51">
        <v>-75.211077777777774</v>
      </c>
    </row>
    <row r="52" spans="1:12" x14ac:dyDescent="0.25">
      <c r="A52" s="84">
        <v>51</v>
      </c>
      <c r="B52" s="84" t="s">
        <v>637</v>
      </c>
      <c r="C52" s="84" t="s">
        <v>511</v>
      </c>
      <c r="D52" s="84" t="s">
        <v>638</v>
      </c>
      <c r="E52" s="84" t="s">
        <v>590</v>
      </c>
      <c r="F52" s="84" t="s">
        <v>577</v>
      </c>
      <c r="G52" s="84" t="s">
        <v>467</v>
      </c>
      <c r="H52" s="84" t="s">
        <v>467</v>
      </c>
      <c r="I52" s="84" t="s">
        <v>445</v>
      </c>
      <c r="J52" s="84" t="s">
        <v>516</v>
      </c>
      <c r="K52" s="84">
        <v>-12.060397222222219</v>
      </c>
      <c r="L52" s="84">
        <v>-75.213447222222229</v>
      </c>
    </row>
    <row r="53" spans="1:12" x14ac:dyDescent="0.25">
      <c r="A53">
        <v>52</v>
      </c>
      <c r="B53" t="s">
        <v>639</v>
      </c>
      <c r="C53" t="s">
        <v>512</v>
      </c>
      <c r="D53" t="s">
        <v>627</v>
      </c>
      <c r="E53" t="s">
        <v>539</v>
      </c>
      <c r="F53" t="s">
        <v>577</v>
      </c>
      <c r="G53" t="s">
        <v>467</v>
      </c>
      <c r="H53" t="s">
        <v>467</v>
      </c>
      <c r="I53" t="s">
        <v>445</v>
      </c>
      <c r="J53" t="s">
        <v>516</v>
      </c>
      <c r="K53">
        <v>-12.060380555555559</v>
      </c>
      <c r="L53">
        <v>-75.216983333333332</v>
      </c>
    </row>
    <row r="54" spans="1:12" x14ac:dyDescent="0.25">
      <c r="A54" s="84">
        <v>53</v>
      </c>
      <c r="B54" s="84" t="s">
        <v>640</v>
      </c>
      <c r="C54" s="84" t="s">
        <v>513</v>
      </c>
      <c r="D54" s="84" t="s">
        <v>627</v>
      </c>
      <c r="E54" s="84" t="s">
        <v>539</v>
      </c>
      <c r="F54" s="84" t="s">
        <v>577</v>
      </c>
      <c r="G54" s="84" t="s">
        <v>467</v>
      </c>
      <c r="H54" s="84" t="s">
        <v>467</v>
      </c>
      <c r="I54" s="84" t="s">
        <v>445</v>
      </c>
      <c r="J54" s="84" t="s">
        <v>516</v>
      </c>
      <c r="K54" s="84">
        <v>-12.060380555555559</v>
      </c>
      <c r="L54" s="84">
        <v>-75.216983333333332</v>
      </c>
    </row>
    <row r="55" spans="1:12" x14ac:dyDescent="0.25">
      <c r="A55">
        <v>54</v>
      </c>
      <c r="B55" t="s">
        <v>641</v>
      </c>
      <c r="C55" t="s">
        <v>514</v>
      </c>
      <c r="D55" t="s">
        <v>589</v>
      </c>
      <c r="E55" t="s">
        <v>539</v>
      </c>
      <c r="F55" t="s">
        <v>577</v>
      </c>
      <c r="G55" t="s">
        <v>467</v>
      </c>
      <c r="H55" t="s">
        <v>467</v>
      </c>
      <c r="I55" t="s">
        <v>445</v>
      </c>
      <c r="J55" t="s">
        <v>516</v>
      </c>
      <c r="K55">
        <v>-12.05902222222222</v>
      </c>
      <c r="L55">
        <v>-75.211077777777774</v>
      </c>
    </row>
    <row r="56" spans="1:12" x14ac:dyDescent="0.25">
      <c r="A56" s="84">
        <v>55</v>
      </c>
      <c r="B56" s="84" t="s">
        <v>642</v>
      </c>
      <c r="C56" s="84" t="s">
        <v>515</v>
      </c>
      <c r="D56" s="84" t="s">
        <v>581</v>
      </c>
      <c r="E56" s="84" t="s">
        <v>539</v>
      </c>
      <c r="F56" s="84" t="s">
        <v>577</v>
      </c>
      <c r="G56" s="84" t="s">
        <v>467</v>
      </c>
      <c r="H56" s="84" t="s">
        <v>467</v>
      </c>
      <c r="I56" s="84" t="s">
        <v>445</v>
      </c>
      <c r="J56" s="84" t="s">
        <v>516</v>
      </c>
      <c r="K56" s="84">
        <v>-12.05902222222222</v>
      </c>
      <c r="L56" s="84">
        <v>-75.211077777777774</v>
      </c>
    </row>
    <row r="57" spans="1:12" x14ac:dyDescent="0.25">
      <c r="A57">
        <v>56</v>
      </c>
      <c r="B57" t="s">
        <v>643</v>
      </c>
      <c r="C57" t="s">
        <v>517</v>
      </c>
      <c r="D57" t="s">
        <v>586</v>
      </c>
      <c r="E57" t="s">
        <v>539</v>
      </c>
      <c r="F57" t="s">
        <v>577</v>
      </c>
      <c r="G57" t="s">
        <v>467</v>
      </c>
      <c r="H57" t="s">
        <v>467</v>
      </c>
      <c r="I57" t="s">
        <v>445</v>
      </c>
      <c r="J57" t="s">
        <v>445</v>
      </c>
      <c r="K57">
        <v>-12.06148055555556</v>
      </c>
      <c r="L57">
        <v>-75.200372222222228</v>
      </c>
    </row>
    <row r="58" spans="1:12" x14ac:dyDescent="0.25">
      <c r="A58" s="84">
        <v>57</v>
      </c>
      <c r="B58" s="84" t="s">
        <v>644</v>
      </c>
      <c r="C58" s="84" t="s">
        <v>518</v>
      </c>
      <c r="D58" s="84" t="s">
        <v>578</v>
      </c>
      <c r="E58" s="84" t="s">
        <v>539</v>
      </c>
      <c r="F58" s="84" t="s">
        <v>577</v>
      </c>
      <c r="G58" s="84" t="s">
        <v>467</v>
      </c>
      <c r="H58" s="84" t="s">
        <v>467</v>
      </c>
      <c r="I58" s="84" t="s">
        <v>445</v>
      </c>
      <c r="J58" s="84" t="s">
        <v>445</v>
      </c>
      <c r="K58" s="84">
        <v>-12.060397222222219</v>
      </c>
      <c r="L58" s="84">
        <v>-75.213447222222229</v>
      </c>
    </row>
    <row r="59" spans="1:12" x14ac:dyDescent="0.25">
      <c r="A59">
        <v>58</v>
      </c>
      <c r="B59" t="s">
        <v>645</v>
      </c>
      <c r="C59" t="s">
        <v>522</v>
      </c>
      <c r="D59" t="s">
        <v>578</v>
      </c>
      <c r="E59" t="s">
        <v>539</v>
      </c>
      <c r="F59" t="s">
        <v>577</v>
      </c>
      <c r="G59" t="s">
        <v>467</v>
      </c>
      <c r="H59" t="s">
        <v>467</v>
      </c>
      <c r="I59" t="s">
        <v>445</v>
      </c>
      <c r="J59" t="s">
        <v>445</v>
      </c>
      <c r="K59">
        <v>-12.060397222222219</v>
      </c>
      <c r="L59">
        <v>-75.213447222222229</v>
      </c>
    </row>
    <row r="60" spans="1:12" x14ac:dyDescent="0.25">
      <c r="A60" s="84">
        <v>59</v>
      </c>
      <c r="B60" s="84" t="s">
        <v>646</v>
      </c>
      <c r="C60" s="84" t="s">
        <v>523</v>
      </c>
      <c r="D60" s="84" t="s">
        <v>578</v>
      </c>
      <c r="E60" s="84" t="s">
        <v>539</v>
      </c>
      <c r="F60" s="84" t="s">
        <v>577</v>
      </c>
      <c r="G60" s="84" t="s">
        <v>467</v>
      </c>
      <c r="H60" s="84" t="s">
        <v>467</v>
      </c>
      <c r="I60" s="84" t="s">
        <v>445</v>
      </c>
      <c r="J60" s="84" t="s">
        <v>445</v>
      </c>
      <c r="K60" s="84">
        <v>-12.060397222222219</v>
      </c>
      <c r="L60" s="84">
        <v>-75.213447222222229</v>
      </c>
    </row>
    <row r="61" spans="1:12" x14ac:dyDescent="0.25">
      <c r="A61">
        <v>60</v>
      </c>
      <c r="B61" t="s">
        <v>647</v>
      </c>
      <c r="C61" t="s">
        <v>524</v>
      </c>
      <c r="D61" t="s">
        <v>578</v>
      </c>
      <c r="E61" t="s">
        <v>539</v>
      </c>
      <c r="F61" t="s">
        <v>577</v>
      </c>
      <c r="G61" t="s">
        <v>467</v>
      </c>
      <c r="H61" t="s">
        <v>467</v>
      </c>
      <c r="I61" t="s">
        <v>445</v>
      </c>
      <c r="J61" t="s">
        <v>648</v>
      </c>
      <c r="K61">
        <v>-12.08064444444444</v>
      </c>
      <c r="L61">
        <v>-75.207766666666672</v>
      </c>
    </row>
    <row r="62" spans="1:12" x14ac:dyDescent="0.25">
      <c r="A62" s="84">
        <v>61</v>
      </c>
      <c r="B62" s="84" t="s">
        <v>649</v>
      </c>
      <c r="C62" s="84" t="s">
        <v>528</v>
      </c>
      <c r="D62" s="84" t="s">
        <v>578</v>
      </c>
      <c r="E62" s="84" t="s">
        <v>539</v>
      </c>
      <c r="F62" s="84" t="s">
        <v>577</v>
      </c>
      <c r="G62" s="84" t="s">
        <v>467</v>
      </c>
      <c r="H62" s="84" t="s">
        <v>467</v>
      </c>
      <c r="I62" s="84" t="s">
        <v>445</v>
      </c>
      <c r="J62" s="84" t="s">
        <v>648</v>
      </c>
      <c r="K62" s="84">
        <v>-12.08064444444444</v>
      </c>
      <c r="L62" s="84">
        <v>-75.207766666666672</v>
      </c>
    </row>
    <row r="63" spans="1:12" x14ac:dyDescent="0.25">
      <c r="A63">
        <v>62</v>
      </c>
      <c r="B63" t="s">
        <v>650</v>
      </c>
      <c r="C63" t="s">
        <v>529</v>
      </c>
      <c r="D63" t="s">
        <v>578</v>
      </c>
      <c r="E63" t="s">
        <v>539</v>
      </c>
      <c r="F63" t="s">
        <v>577</v>
      </c>
      <c r="G63" t="s">
        <v>467</v>
      </c>
      <c r="H63" t="s">
        <v>467</v>
      </c>
      <c r="I63" t="s">
        <v>445</v>
      </c>
      <c r="J63" t="s">
        <v>651</v>
      </c>
      <c r="K63">
        <v>-11.986544444444441</v>
      </c>
      <c r="L63">
        <v>-75.24281388888889</v>
      </c>
    </row>
    <row r="64" spans="1:12" x14ac:dyDescent="0.25">
      <c r="A64" s="84">
        <v>63</v>
      </c>
      <c r="B64" s="84" t="s">
        <v>652</v>
      </c>
      <c r="C64" s="84" t="s">
        <v>535</v>
      </c>
      <c r="D64" s="84" t="s">
        <v>578</v>
      </c>
      <c r="E64" s="84" t="s">
        <v>590</v>
      </c>
      <c r="F64" s="84" t="s">
        <v>577</v>
      </c>
      <c r="G64" s="84" t="s">
        <v>467</v>
      </c>
      <c r="H64" s="84" t="s">
        <v>467</v>
      </c>
      <c r="I64" s="84" t="s">
        <v>447</v>
      </c>
      <c r="J64" s="84" t="s">
        <v>447</v>
      </c>
      <c r="K64" s="84">
        <v>-12.062138888888891</v>
      </c>
      <c r="L64" s="84">
        <v>-7517.9750000000004</v>
      </c>
    </row>
    <row r="65" spans="1:12" x14ac:dyDescent="0.25">
      <c r="A65">
        <v>64</v>
      </c>
      <c r="B65" t="s">
        <v>653</v>
      </c>
      <c r="C65" t="s">
        <v>536</v>
      </c>
      <c r="D65" t="s">
        <v>578</v>
      </c>
      <c r="E65" t="s">
        <v>590</v>
      </c>
      <c r="F65" t="s">
        <v>584</v>
      </c>
      <c r="G65" t="s">
        <v>467</v>
      </c>
      <c r="H65" t="s">
        <v>467</v>
      </c>
      <c r="I65" t="s">
        <v>447</v>
      </c>
      <c r="J65" t="s">
        <v>447</v>
      </c>
      <c r="K65">
        <v>-12.062138888888891</v>
      </c>
      <c r="L65">
        <v>-7517.9750000000004</v>
      </c>
    </row>
    <row r="66" spans="1:12" x14ac:dyDescent="0.25">
      <c r="A66" s="84">
        <v>65</v>
      </c>
      <c r="B66" s="84" t="s">
        <v>654</v>
      </c>
      <c r="C66" s="84" t="s">
        <v>537</v>
      </c>
      <c r="D66" s="84" t="s">
        <v>581</v>
      </c>
      <c r="E66" s="84" t="s">
        <v>590</v>
      </c>
      <c r="F66" s="84" t="s">
        <v>577</v>
      </c>
      <c r="G66" s="84" t="s">
        <v>467</v>
      </c>
      <c r="H66" s="84" t="s">
        <v>467</v>
      </c>
      <c r="I66" s="84" t="s">
        <v>447</v>
      </c>
      <c r="J66" s="84" t="s">
        <v>447</v>
      </c>
      <c r="K66" s="84">
        <v>-12.062138888888891</v>
      </c>
      <c r="L66" s="84">
        <v>-7517.9750000000004</v>
      </c>
    </row>
    <row r="67" spans="1:12" x14ac:dyDescent="0.25">
      <c r="A67">
        <v>66</v>
      </c>
      <c r="B67" t="s">
        <v>655</v>
      </c>
      <c r="C67" t="s">
        <v>538</v>
      </c>
      <c r="D67" t="s">
        <v>581</v>
      </c>
      <c r="E67" t="s">
        <v>590</v>
      </c>
      <c r="F67" t="s">
        <v>577</v>
      </c>
      <c r="G67" t="s">
        <v>467</v>
      </c>
      <c r="H67" t="s">
        <v>467</v>
      </c>
      <c r="I67" t="s">
        <v>447</v>
      </c>
      <c r="J67" t="s">
        <v>447</v>
      </c>
      <c r="K67">
        <v>-12.062138888888891</v>
      </c>
      <c r="L67">
        <v>-7517.9750000000004</v>
      </c>
    </row>
    <row r="68" spans="1:12" x14ac:dyDescent="0.25">
      <c r="A68" s="84">
        <v>67</v>
      </c>
      <c r="B68" s="84" t="s">
        <v>656</v>
      </c>
      <c r="C68" s="84" t="s">
        <v>539</v>
      </c>
      <c r="D68" s="84" t="s">
        <v>578</v>
      </c>
      <c r="E68" s="84" t="s">
        <v>539</v>
      </c>
      <c r="F68" s="84" t="s">
        <v>577</v>
      </c>
      <c r="G68" s="84" t="s">
        <v>467</v>
      </c>
      <c r="H68" s="84" t="s">
        <v>467</v>
      </c>
      <c r="I68" s="84" t="s">
        <v>447</v>
      </c>
      <c r="J68" s="84" t="s">
        <v>447</v>
      </c>
      <c r="K68" s="84">
        <v>-12.062138888888891</v>
      </c>
      <c r="L68" s="84">
        <v>-7517.9750000000004</v>
      </c>
    </row>
    <row r="69" spans="1:12" x14ac:dyDescent="0.25">
      <c r="A69">
        <v>68</v>
      </c>
      <c r="B69" t="s">
        <v>657</v>
      </c>
      <c r="C69" t="s">
        <v>535</v>
      </c>
      <c r="D69" t="s">
        <v>578</v>
      </c>
      <c r="E69" t="s">
        <v>590</v>
      </c>
      <c r="F69" t="s">
        <v>577</v>
      </c>
      <c r="G69" t="s">
        <v>467</v>
      </c>
      <c r="H69" t="s">
        <v>467</v>
      </c>
      <c r="I69" t="s">
        <v>449</v>
      </c>
      <c r="J69" t="s">
        <v>449</v>
      </c>
      <c r="K69">
        <v>-11.926083333333329</v>
      </c>
      <c r="L69">
        <v>-75.310647222222215</v>
      </c>
    </row>
    <row r="70" spans="1:12" x14ac:dyDescent="0.25">
      <c r="A70" s="84">
        <v>69</v>
      </c>
      <c r="B70" s="84" t="s">
        <v>658</v>
      </c>
      <c r="C70" s="84" t="s">
        <v>537</v>
      </c>
      <c r="D70" s="84" t="s">
        <v>581</v>
      </c>
      <c r="E70" s="84" t="s">
        <v>590</v>
      </c>
      <c r="F70" s="84" t="s">
        <v>577</v>
      </c>
      <c r="G70" s="84" t="s">
        <v>467</v>
      </c>
      <c r="H70" s="84" t="s">
        <v>467</v>
      </c>
      <c r="I70" s="84" t="s">
        <v>449</v>
      </c>
      <c r="J70" s="84" t="s">
        <v>449</v>
      </c>
      <c r="K70" s="84">
        <v>-12.926083333333329</v>
      </c>
      <c r="L70" s="84">
        <v>-75.310647222222215</v>
      </c>
    </row>
    <row r="71" spans="1:12" x14ac:dyDescent="0.25">
      <c r="A71">
        <v>70</v>
      </c>
      <c r="B71" t="s">
        <v>659</v>
      </c>
      <c r="C71" t="s">
        <v>538</v>
      </c>
      <c r="D71" t="s">
        <v>581</v>
      </c>
      <c r="E71" t="s">
        <v>590</v>
      </c>
      <c r="F71" t="s">
        <v>577</v>
      </c>
      <c r="G71" t="s">
        <v>467</v>
      </c>
      <c r="H71" t="s">
        <v>467</v>
      </c>
      <c r="I71" t="s">
        <v>449</v>
      </c>
      <c r="J71" t="s">
        <v>449</v>
      </c>
      <c r="K71">
        <v>-13.926083333333329</v>
      </c>
      <c r="L71">
        <v>-75.310647222222215</v>
      </c>
    </row>
    <row r="72" spans="1:12" x14ac:dyDescent="0.25">
      <c r="A72" s="84">
        <v>71</v>
      </c>
      <c r="B72" s="84" t="s">
        <v>660</v>
      </c>
      <c r="C72" s="84" t="s">
        <v>539</v>
      </c>
      <c r="D72" s="84" t="s">
        <v>578</v>
      </c>
      <c r="E72" s="84" t="s">
        <v>539</v>
      </c>
      <c r="F72" s="84" t="s">
        <v>577</v>
      </c>
      <c r="G72" s="84" t="s">
        <v>467</v>
      </c>
      <c r="H72" s="84" t="s">
        <v>467</v>
      </c>
      <c r="I72" s="84" t="s">
        <v>449</v>
      </c>
      <c r="J72" s="84" t="s">
        <v>449</v>
      </c>
      <c r="K72" s="84">
        <v>-14.926083333333329</v>
      </c>
      <c r="L72" s="84">
        <v>-75.310647222222215</v>
      </c>
    </row>
    <row r="73" spans="1:12" x14ac:dyDescent="0.25">
      <c r="A73">
        <v>72</v>
      </c>
      <c r="B73" t="s">
        <v>661</v>
      </c>
      <c r="C73" t="s">
        <v>535</v>
      </c>
      <c r="D73" t="s">
        <v>578</v>
      </c>
      <c r="E73" t="s">
        <v>590</v>
      </c>
      <c r="F73" t="s">
        <v>577</v>
      </c>
      <c r="G73" t="s">
        <v>467</v>
      </c>
      <c r="H73" t="s">
        <v>467</v>
      </c>
      <c r="I73" t="s">
        <v>543</v>
      </c>
      <c r="J73" t="s">
        <v>543</v>
      </c>
      <c r="K73">
        <v>-11.7676</v>
      </c>
      <c r="L73">
        <v>-75.497944444444443</v>
      </c>
    </row>
    <row r="74" spans="1:12" x14ac:dyDescent="0.25">
      <c r="A74" s="84">
        <v>73</v>
      </c>
      <c r="B74" s="84" t="s">
        <v>662</v>
      </c>
      <c r="C74" s="84" t="s">
        <v>546</v>
      </c>
      <c r="D74" s="84" t="s">
        <v>581</v>
      </c>
      <c r="E74" s="84" t="s">
        <v>590</v>
      </c>
      <c r="F74" s="84" t="s">
        <v>577</v>
      </c>
      <c r="G74" s="84" t="s">
        <v>467</v>
      </c>
      <c r="H74" s="84" t="s">
        <v>467</v>
      </c>
      <c r="I74" s="84" t="s">
        <v>543</v>
      </c>
      <c r="J74" s="84" t="s">
        <v>543</v>
      </c>
      <c r="K74" s="84">
        <v>-11.7676</v>
      </c>
      <c r="L74" s="84">
        <v>-75.497944444444443</v>
      </c>
    </row>
    <row r="75" spans="1:12" x14ac:dyDescent="0.25">
      <c r="A75">
        <v>74</v>
      </c>
      <c r="B75" t="s">
        <v>663</v>
      </c>
      <c r="C75" t="s">
        <v>547</v>
      </c>
      <c r="D75" t="s">
        <v>581</v>
      </c>
      <c r="E75" t="s">
        <v>590</v>
      </c>
      <c r="F75" t="s">
        <v>577</v>
      </c>
      <c r="G75" t="s">
        <v>467</v>
      </c>
      <c r="H75" t="s">
        <v>467</v>
      </c>
      <c r="I75" t="s">
        <v>543</v>
      </c>
      <c r="J75" t="s">
        <v>543</v>
      </c>
      <c r="K75">
        <v>-11.7676</v>
      </c>
      <c r="L75">
        <v>-75.497944444444443</v>
      </c>
    </row>
    <row r="76" spans="1:12" x14ac:dyDescent="0.25">
      <c r="A76" s="84">
        <v>75</v>
      </c>
      <c r="B76" s="84" t="s">
        <v>664</v>
      </c>
      <c r="C76" s="84" t="s">
        <v>665</v>
      </c>
      <c r="D76" s="84" t="s">
        <v>581</v>
      </c>
      <c r="E76" s="84" t="s">
        <v>590</v>
      </c>
      <c r="F76" s="84" t="s">
        <v>577</v>
      </c>
      <c r="G76" s="84" t="s">
        <v>467</v>
      </c>
      <c r="H76" s="84" t="s">
        <v>467</v>
      </c>
      <c r="I76" s="84" t="s">
        <v>543</v>
      </c>
      <c r="J76" s="84" t="s">
        <v>543</v>
      </c>
      <c r="K76" s="84">
        <v>-11.7676</v>
      </c>
      <c r="L76" s="84">
        <v>-75.497944444444443</v>
      </c>
    </row>
    <row r="77" spans="1:12" x14ac:dyDescent="0.25">
      <c r="A77">
        <v>76</v>
      </c>
      <c r="B77" t="s">
        <v>666</v>
      </c>
      <c r="C77" t="s">
        <v>667</v>
      </c>
      <c r="D77" t="s">
        <v>581</v>
      </c>
      <c r="E77" t="s">
        <v>590</v>
      </c>
      <c r="F77" t="s">
        <v>577</v>
      </c>
      <c r="G77" t="s">
        <v>467</v>
      </c>
      <c r="H77" t="s">
        <v>467</v>
      </c>
      <c r="I77" t="s">
        <v>543</v>
      </c>
      <c r="J77" t="s">
        <v>543</v>
      </c>
      <c r="K77">
        <v>-11.7676</v>
      </c>
      <c r="L77">
        <v>-75.497944444444443</v>
      </c>
    </row>
    <row r="78" spans="1:12" x14ac:dyDescent="0.25">
      <c r="A78" s="84">
        <v>77</v>
      </c>
      <c r="B78" s="84" t="s">
        <v>668</v>
      </c>
      <c r="C78" s="84" t="s">
        <v>669</v>
      </c>
      <c r="D78" s="84" t="s">
        <v>627</v>
      </c>
      <c r="E78" s="84" t="s">
        <v>590</v>
      </c>
      <c r="F78" s="84" t="s">
        <v>577</v>
      </c>
      <c r="G78" s="84" t="s">
        <v>467</v>
      </c>
      <c r="H78" s="84" t="s">
        <v>467</v>
      </c>
      <c r="I78" s="84" t="s">
        <v>543</v>
      </c>
      <c r="J78" s="84" t="s">
        <v>543</v>
      </c>
      <c r="K78" s="84">
        <v>-11.7676</v>
      </c>
      <c r="L78" s="84">
        <v>-75.497944444444443</v>
      </c>
    </row>
    <row r="79" spans="1:12" x14ac:dyDescent="0.25">
      <c r="A79">
        <v>78</v>
      </c>
      <c r="B79" t="s">
        <v>670</v>
      </c>
      <c r="C79" t="s">
        <v>518</v>
      </c>
      <c r="D79" t="s">
        <v>578</v>
      </c>
      <c r="E79" t="s">
        <v>539</v>
      </c>
      <c r="F79" t="s">
        <v>577</v>
      </c>
      <c r="G79" t="s">
        <v>467</v>
      </c>
      <c r="H79" t="s">
        <v>467</v>
      </c>
      <c r="I79" t="s">
        <v>543</v>
      </c>
      <c r="J79" t="s">
        <v>543</v>
      </c>
      <c r="K79">
        <v>-11.7676</v>
      </c>
      <c r="L79">
        <v>-75.497944444444443</v>
      </c>
    </row>
    <row r="80" spans="1:12" x14ac:dyDescent="0.25">
      <c r="A80" s="84">
        <v>79</v>
      </c>
      <c r="B80" s="84" t="s">
        <v>671</v>
      </c>
      <c r="C80" s="84" t="s">
        <v>537</v>
      </c>
      <c r="D80" s="84" t="s">
        <v>581</v>
      </c>
      <c r="E80" s="84" t="s">
        <v>590</v>
      </c>
      <c r="F80" s="84" t="s">
        <v>577</v>
      </c>
      <c r="G80" s="84" t="s">
        <v>467</v>
      </c>
      <c r="H80" s="84" t="s">
        <v>467</v>
      </c>
      <c r="I80" s="84" t="s">
        <v>467</v>
      </c>
      <c r="J80" s="84" t="s">
        <v>467</v>
      </c>
      <c r="K80" s="84">
        <v>-11.16154166666667</v>
      </c>
      <c r="L80" s="84">
        <v>-75.999186111111115</v>
      </c>
    </row>
    <row r="81" spans="1:12" x14ac:dyDescent="0.25">
      <c r="A81">
        <v>80</v>
      </c>
      <c r="B81" t="s">
        <v>672</v>
      </c>
      <c r="C81" t="s">
        <v>538</v>
      </c>
      <c r="D81" t="s">
        <v>581</v>
      </c>
      <c r="E81" t="s">
        <v>590</v>
      </c>
      <c r="F81" t="s">
        <v>577</v>
      </c>
      <c r="G81" t="s">
        <v>467</v>
      </c>
      <c r="H81" t="s">
        <v>467</v>
      </c>
      <c r="I81" t="s">
        <v>467</v>
      </c>
      <c r="J81" t="s">
        <v>467</v>
      </c>
      <c r="K81">
        <v>-11.16154166666667</v>
      </c>
      <c r="L81">
        <v>-75.999186111111115</v>
      </c>
    </row>
    <row r="82" spans="1:12" x14ac:dyDescent="0.25">
      <c r="A82" s="84">
        <v>81</v>
      </c>
      <c r="B82" s="84" t="s">
        <v>673</v>
      </c>
      <c r="C82" s="84" t="s">
        <v>535</v>
      </c>
      <c r="D82" s="84" t="s">
        <v>578</v>
      </c>
      <c r="E82" s="84" t="s">
        <v>590</v>
      </c>
      <c r="F82" s="84" t="s">
        <v>577</v>
      </c>
      <c r="G82" s="84" t="s">
        <v>467</v>
      </c>
      <c r="H82" s="84" t="s">
        <v>467</v>
      </c>
      <c r="I82" s="84" t="s">
        <v>467</v>
      </c>
      <c r="J82" s="84" t="s">
        <v>467</v>
      </c>
      <c r="K82" s="84">
        <v>-11.16154166666667</v>
      </c>
      <c r="L82" s="84">
        <v>-75.999186111111115</v>
      </c>
    </row>
    <row r="83" spans="1:12" x14ac:dyDescent="0.25">
      <c r="A83">
        <v>82</v>
      </c>
      <c r="B83" t="s">
        <v>674</v>
      </c>
      <c r="C83" t="s">
        <v>539</v>
      </c>
      <c r="D83" t="s">
        <v>578</v>
      </c>
      <c r="E83" t="s">
        <v>539</v>
      </c>
      <c r="F83" t="s">
        <v>577</v>
      </c>
      <c r="G83" t="s">
        <v>467</v>
      </c>
      <c r="H83" t="s">
        <v>467</v>
      </c>
      <c r="I83" t="s">
        <v>467</v>
      </c>
      <c r="J83" t="s">
        <v>467</v>
      </c>
      <c r="K83">
        <v>-11.16154166666667</v>
      </c>
      <c r="L83">
        <v>-75.999186111111115</v>
      </c>
    </row>
    <row r="84" spans="1:12" x14ac:dyDescent="0.25">
      <c r="A84" s="84">
        <v>83</v>
      </c>
      <c r="B84" s="84" t="s">
        <v>675</v>
      </c>
      <c r="C84" s="84" t="s">
        <v>544</v>
      </c>
      <c r="D84" s="84" t="s">
        <v>578</v>
      </c>
      <c r="E84" s="84" t="s">
        <v>579</v>
      </c>
      <c r="F84" s="84" t="s">
        <v>577</v>
      </c>
      <c r="G84" s="84" t="s">
        <v>467</v>
      </c>
      <c r="H84" s="84" t="s">
        <v>467</v>
      </c>
      <c r="I84" s="84" t="s">
        <v>469</v>
      </c>
      <c r="J84" s="84" t="s">
        <v>469</v>
      </c>
      <c r="K84" s="84">
        <v>-11.419558333333329</v>
      </c>
      <c r="L84" s="84">
        <v>-75.689480555555562</v>
      </c>
    </row>
    <row r="85" spans="1:12" x14ac:dyDescent="0.25">
      <c r="A85">
        <v>84</v>
      </c>
      <c r="B85" t="s">
        <v>676</v>
      </c>
      <c r="C85" t="s">
        <v>535</v>
      </c>
      <c r="D85" t="s">
        <v>578</v>
      </c>
      <c r="E85" t="s">
        <v>590</v>
      </c>
      <c r="F85" t="s">
        <v>577</v>
      </c>
      <c r="G85" t="s">
        <v>467</v>
      </c>
      <c r="H85" t="s">
        <v>467</v>
      </c>
      <c r="I85" t="s">
        <v>469</v>
      </c>
      <c r="J85" t="s">
        <v>469</v>
      </c>
      <c r="K85">
        <v>-11.418686111111111</v>
      </c>
      <c r="L85">
        <v>-75.698891666666668</v>
      </c>
    </row>
    <row r="86" spans="1:12" x14ac:dyDescent="0.25">
      <c r="A86" s="84">
        <v>85</v>
      </c>
      <c r="B86" s="84" t="s">
        <v>677</v>
      </c>
      <c r="C86" s="84" t="s">
        <v>546</v>
      </c>
      <c r="D86" s="84" t="s">
        <v>581</v>
      </c>
      <c r="E86" s="84" t="s">
        <v>590</v>
      </c>
      <c r="F86" s="84" t="s">
        <v>577</v>
      </c>
      <c r="G86" s="84" t="s">
        <v>467</v>
      </c>
      <c r="H86" s="84" t="s">
        <v>467</v>
      </c>
      <c r="I86" s="84" t="s">
        <v>469</v>
      </c>
      <c r="J86" s="84" t="s">
        <v>469</v>
      </c>
      <c r="K86" s="84">
        <v>-11.42086111111111</v>
      </c>
      <c r="L86" s="84">
        <v>-75.687747222222228</v>
      </c>
    </row>
    <row r="87" spans="1:12" x14ac:dyDescent="0.25">
      <c r="A87">
        <v>86</v>
      </c>
      <c r="B87" t="s">
        <v>678</v>
      </c>
      <c r="C87" t="s">
        <v>547</v>
      </c>
      <c r="D87" t="s">
        <v>581</v>
      </c>
      <c r="E87" t="s">
        <v>590</v>
      </c>
      <c r="F87" t="s">
        <v>577</v>
      </c>
      <c r="G87" t="s">
        <v>467</v>
      </c>
      <c r="H87" t="s">
        <v>467</v>
      </c>
      <c r="I87" t="s">
        <v>469</v>
      </c>
      <c r="J87" t="s">
        <v>469</v>
      </c>
      <c r="K87">
        <v>-11.42086111111111</v>
      </c>
      <c r="L87">
        <v>-75.687747222222228</v>
      </c>
    </row>
    <row r="88" spans="1:12" x14ac:dyDescent="0.25">
      <c r="A88" s="84">
        <v>87</v>
      </c>
      <c r="B88" s="84" t="s">
        <v>679</v>
      </c>
      <c r="C88" s="84" t="s">
        <v>548</v>
      </c>
      <c r="D88" s="84" t="s">
        <v>581</v>
      </c>
      <c r="E88" s="84" t="s">
        <v>590</v>
      </c>
      <c r="F88" s="84" t="s">
        <v>577</v>
      </c>
      <c r="G88" s="84" t="s">
        <v>467</v>
      </c>
      <c r="H88" s="84" t="s">
        <v>467</v>
      </c>
      <c r="I88" s="84" t="s">
        <v>469</v>
      </c>
      <c r="J88" s="84" t="s">
        <v>469</v>
      </c>
      <c r="K88" s="84">
        <v>-11.42086111111111</v>
      </c>
      <c r="L88" s="84">
        <v>-75.687747222222228</v>
      </c>
    </row>
    <row r="89" spans="1:12" x14ac:dyDescent="0.25">
      <c r="A89">
        <v>88</v>
      </c>
      <c r="B89" t="s">
        <v>680</v>
      </c>
      <c r="C89" t="s">
        <v>549</v>
      </c>
      <c r="D89" t="s">
        <v>581</v>
      </c>
      <c r="E89" t="s">
        <v>590</v>
      </c>
      <c r="F89" t="s">
        <v>577</v>
      </c>
      <c r="G89" t="s">
        <v>467</v>
      </c>
      <c r="H89" t="s">
        <v>467</v>
      </c>
      <c r="I89" t="s">
        <v>469</v>
      </c>
      <c r="J89" t="s">
        <v>469</v>
      </c>
      <c r="K89">
        <v>-11.42086111111111</v>
      </c>
      <c r="L89">
        <v>-75.687747222222228</v>
      </c>
    </row>
    <row r="90" spans="1:12" x14ac:dyDescent="0.25">
      <c r="A90" s="84">
        <v>89</v>
      </c>
      <c r="B90" s="84" t="s">
        <v>681</v>
      </c>
      <c r="C90" s="84" t="s">
        <v>550</v>
      </c>
      <c r="D90" s="84" t="s">
        <v>581</v>
      </c>
      <c r="E90" s="84" t="s">
        <v>590</v>
      </c>
      <c r="F90" s="84" t="s">
        <v>577</v>
      </c>
      <c r="G90" s="84" t="s">
        <v>467</v>
      </c>
      <c r="H90" s="84" t="s">
        <v>467</v>
      </c>
      <c r="I90" s="84" t="s">
        <v>469</v>
      </c>
      <c r="J90" s="84" t="s">
        <v>469</v>
      </c>
      <c r="K90" s="84">
        <v>-11.42086111111111</v>
      </c>
      <c r="L90" s="84">
        <v>-75.687747222222228</v>
      </c>
    </row>
    <row r="91" spans="1:12" x14ac:dyDescent="0.25">
      <c r="A91">
        <v>90</v>
      </c>
      <c r="B91" t="s">
        <v>682</v>
      </c>
      <c r="C91" t="s">
        <v>551</v>
      </c>
      <c r="D91" t="s">
        <v>627</v>
      </c>
      <c r="E91" t="s">
        <v>590</v>
      </c>
      <c r="F91" t="s">
        <v>577</v>
      </c>
      <c r="G91" t="s">
        <v>467</v>
      </c>
      <c r="H91" t="s">
        <v>467</v>
      </c>
      <c r="I91" t="s">
        <v>469</v>
      </c>
      <c r="J91" t="s">
        <v>469</v>
      </c>
      <c r="K91">
        <v>-11.42872777777778</v>
      </c>
      <c r="L91">
        <v>-75.69157222222222</v>
      </c>
    </row>
    <row r="92" spans="1:12" x14ac:dyDescent="0.25">
      <c r="A92" s="84">
        <v>91</v>
      </c>
      <c r="B92" s="84" t="s">
        <v>683</v>
      </c>
      <c r="C92" s="84" t="s">
        <v>552</v>
      </c>
      <c r="D92" s="84" t="s">
        <v>578</v>
      </c>
      <c r="E92" s="84" t="s">
        <v>539</v>
      </c>
      <c r="F92" s="84" t="s">
        <v>577</v>
      </c>
      <c r="G92" s="84" t="s">
        <v>467</v>
      </c>
      <c r="H92" s="84" t="s">
        <v>467</v>
      </c>
      <c r="I92" s="84" t="s">
        <v>469</v>
      </c>
      <c r="J92" s="84" t="s">
        <v>469</v>
      </c>
      <c r="K92" s="84">
        <v>-11.418686111111111</v>
      </c>
      <c r="L92" s="84">
        <v>-75.698891666666668</v>
      </c>
    </row>
    <row r="93" spans="1:12" x14ac:dyDescent="0.25">
      <c r="A93">
        <v>92</v>
      </c>
      <c r="B93" t="s">
        <v>684</v>
      </c>
      <c r="C93" t="s">
        <v>553</v>
      </c>
      <c r="D93" t="s">
        <v>578</v>
      </c>
      <c r="E93" t="s">
        <v>539</v>
      </c>
      <c r="F93" t="s">
        <v>577</v>
      </c>
      <c r="G93" t="s">
        <v>467</v>
      </c>
      <c r="H93" t="s">
        <v>467</v>
      </c>
      <c r="I93" t="s">
        <v>469</v>
      </c>
      <c r="J93" t="s">
        <v>554</v>
      </c>
      <c r="K93">
        <v>-11.354230555555549</v>
      </c>
      <c r="L93">
        <v>-75.658786111111112</v>
      </c>
    </row>
    <row r="94" spans="1:12" x14ac:dyDescent="0.25">
      <c r="A94" s="84">
        <v>93</v>
      </c>
      <c r="B94" s="84" t="s">
        <v>685</v>
      </c>
      <c r="C94" s="84" t="s">
        <v>535</v>
      </c>
      <c r="D94" s="84" t="s">
        <v>578</v>
      </c>
      <c r="E94" s="84" t="s">
        <v>590</v>
      </c>
      <c r="F94" s="84" t="s">
        <v>577</v>
      </c>
      <c r="G94" s="84" t="s">
        <v>467</v>
      </c>
      <c r="H94" s="84" t="s">
        <v>467</v>
      </c>
      <c r="I94" s="84" t="s">
        <v>470</v>
      </c>
      <c r="J94" s="84" t="s">
        <v>545</v>
      </c>
      <c r="K94" s="84">
        <v>-11.521966666666669</v>
      </c>
      <c r="L94" s="84">
        <v>-75.908011111111122</v>
      </c>
    </row>
    <row r="95" spans="1:12" x14ac:dyDescent="0.25">
      <c r="A95">
        <v>94</v>
      </c>
      <c r="B95" t="s">
        <v>686</v>
      </c>
      <c r="C95" t="s">
        <v>537</v>
      </c>
      <c r="D95" t="s">
        <v>581</v>
      </c>
      <c r="E95" t="s">
        <v>590</v>
      </c>
      <c r="F95" t="s">
        <v>577</v>
      </c>
      <c r="G95" t="s">
        <v>467</v>
      </c>
      <c r="H95" t="s">
        <v>467</v>
      </c>
      <c r="I95" t="s">
        <v>470</v>
      </c>
      <c r="J95" t="s">
        <v>545</v>
      </c>
      <c r="K95">
        <v>-11.521966666666669</v>
      </c>
      <c r="L95">
        <v>-75.908011111111122</v>
      </c>
    </row>
    <row r="96" spans="1:12" x14ac:dyDescent="0.25">
      <c r="A96" s="84">
        <v>95</v>
      </c>
      <c r="B96" s="84" t="s">
        <v>687</v>
      </c>
      <c r="C96" s="84" t="s">
        <v>538</v>
      </c>
      <c r="D96" s="84" t="s">
        <v>581</v>
      </c>
      <c r="E96" s="84" t="s">
        <v>590</v>
      </c>
      <c r="F96" s="84" t="s">
        <v>577</v>
      </c>
      <c r="G96" s="84" t="s">
        <v>467</v>
      </c>
      <c r="H96" s="84" t="s">
        <v>467</v>
      </c>
      <c r="I96" s="84" t="s">
        <v>470</v>
      </c>
      <c r="J96" s="84" t="s">
        <v>545</v>
      </c>
      <c r="K96" s="84">
        <v>-11.521966666666669</v>
      </c>
      <c r="L96" s="84">
        <v>-75.908011111111122</v>
      </c>
    </row>
    <row r="97" spans="1:12" x14ac:dyDescent="0.25">
      <c r="A97">
        <v>96</v>
      </c>
      <c r="B97" t="s">
        <v>688</v>
      </c>
      <c r="C97" t="s">
        <v>539</v>
      </c>
      <c r="D97" t="s">
        <v>578</v>
      </c>
      <c r="E97" t="s">
        <v>539</v>
      </c>
      <c r="F97" t="s">
        <v>577</v>
      </c>
      <c r="G97" t="s">
        <v>467</v>
      </c>
      <c r="H97" t="s">
        <v>467</v>
      </c>
      <c r="I97" t="s">
        <v>470</v>
      </c>
      <c r="J97" t="s">
        <v>545</v>
      </c>
      <c r="K97">
        <v>-11.521966666666669</v>
      </c>
      <c r="L97">
        <v>-75.908011111111122</v>
      </c>
    </row>
    <row r="98" spans="1:12" x14ac:dyDescent="0.25">
      <c r="A98" s="84">
        <v>97</v>
      </c>
      <c r="B98" s="84" t="s">
        <v>689</v>
      </c>
      <c r="C98" s="84" t="s">
        <v>537</v>
      </c>
      <c r="D98" s="84" t="s">
        <v>581</v>
      </c>
      <c r="E98" s="84" t="s">
        <v>590</v>
      </c>
      <c r="F98" s="84" t="s">
        <v>577</v>
      </c>
      <c r="G98" s="84" t="s">
        <v>467</v>
      </c>
      <c r="H98" s="84" t="s">
        <v>482</v>
      </c>
      <c r="I98" s="84" t="s">
        <v>462</v>
      </c>
      <c r="J98" s="84" t="s">
        <v>448</v>
      </c>
      <c r="K98" s="84">
        <v>-12.40056666666667</v>
      </c>
      <c r="L98" s="84">
        <v>-74.874197222222222</v>
      </c>
    </row>
    <row r="99" spans="1:12" x14ac:dyDescent="0.25">
      <c r="A99">
        <v>98</v>
      </c>
      <c r="B99" t="s">
        <v>690</v>
      </c>
      <c r="C99" t="s">
        <v>538</v>
      </c>
      <c r="D99" t="s">
        <v>581</v>
      </c>
      <c r="E99" t="s">
        <v>590</v>
      </c>
      <c r="F99" t="s">
        <v>577</v>
      </c>
      <c r="G99" t="s">
        <v>467</v>
      </c>
      <c r="H99" t="s">
        <v>482</v>
      </c>
      <c r="I99" t="s">
        <v>462</v>
      </c>
      <c r="J99" t="s">
        <v>448</v>
      </c>
      <c r="K99">
        <v>-12.40056666666667</v>
      </c>
      <c r="L99">
        <v>-74.874197222222222</v>
      </c>
    </row>
    <row r="100" spans="1:12" x14ac:dyDescent="0.25">
      <c r="A100" s="84">
        <v>99</v>
      </c>
      <c r="B100" s="84" t="s">
        <v>691</v>
      </c>
      <c r="C100" s="84" t="s">
        <v>560</v>
      </c>
      <c r="D100" s="84" t="s">
        <v>578</v>
      </c>
      <c r="E100" s="84" t="s">
        <v>590</v>
      </c>
      <c r="F100" s="84" t="s">
        <v>577</v>
      </c>
      <c r="G100" s="84" t="s">
        <v>467</v>
      </c>
      <c r="H100" s="84" t="s">
        <v>482</v>
      </c>
      <c r="I100" s="84" t="s">
        <v>462</v>
      </c>
      <c r="J100" s="84" t="s">
        <v>448</v>
      </c>
      <c r="K100" s="84">
        <v>-12.40056666666667</v>
      </c>
      <c r="L100" s="84">
        <v>-74.874197222222222</v>
      </c>
    </row>
    <row r="101" spans="1:12" x14ac:dyDescent="0.25">
      <c r="A101">
        <v>100</v>
      </c>
      <c r="B101" t="s">
        <v>692</v>
      </c>
      <c r="C101" t="s">
        <v>564</v>
      </c>
      <c r="D101" t="s">
        <v>578</v>
      </c>
      <c r="E101" t="s">
        <v>539</v>
      </c>
      <c r="F101" t="s">
        <v>577</v>
      </c>
      <c r="G101" t="s">
        <v>467</v>
      </c>
      <c r="H101" t="s">
        <v>482</v>
      </c>
      <c r="I101" t="s">
        <v>462</v>
      </c>
      <c r="J101" t="s">
        <v>448</v>
      </c>
      <c r="K101">
        <v>-12.40056666666667</v>
      </c>
      <c r="L101">
        <v>-74.874197222222222</v>
      </c>
    </row>
    <row r="102" spans="1:12" x14ac:dyDescent="0.25">
      <c r="A102" s="84">
        <v>101</v>
      </c>
      <c r="B102" s="84" t="s">
        <v>693</v>
      </c>
      <c r="C102" s="84" t="s">
        <v>568</v>
      </c>
      <c r="D102" s="84" t="s">
        <v>578</v>
      </c>
      <c r="E102" s="84" t="s">
        <v>539</v>
      </c>
      <c r="F102" s="84" t="s">
        <v>577</v>
      </c>
      <c r="G102" s="84" t="s">
        <v>467</v>
      </c>
      <c r="H102" s="84" t="s">
        <v>482</v>
      </c>
      <c r="I102" s="84" t="s">
        <v>462</v>
      </c>
      <c r="J102" s="84" t="s">
        <v>565</v>
      </c>
      <c r="K102" s="84">
        <v>-12.399213888888889</v>
      </c>
      <c r="L102" s="84">
        <v>-74.868161111111107</v>
      </c>
    </row>
  </sheetData>
  <autoFilter ref="A1:L102" xr:uid="{00000000-0009-0000-0000-000001000000}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50408-8D01-4C56-85BB-040590B0CFD0}">
  <dimension ref="A1:F47"/>
  <sheetViews>
    <sheetView tabSelected="1" workbookViewId="0">
      <pane ySplit="1" topLeftCell="A2" activePane="bottomLeft" state="frozen"/>
      <selection activeCell="B22" sqref="B22"/>
      <selection pane="bottomLeft" activeCell="F1" sqref="F1:F1048576"/>
    </sheetView>
  </sheetViews>
  <sheetFormatPr baseColWidth="10" defaultColWidth="9.140625" defaultRowHeight="15" x14ac:dyDescent="0.25"/>
  <cols>
    <col min="1" max="1" width="16.7109375" customWidth="1"/>
    <col min="2" max="2" width="29.28515625" customWidth="1"/>
    <col min="3" max="5" width="15.5703125" customWidth="1"/>
    <col min="6" max="6" width="10" customWidth="1"/>
  </cols>
  <sheetData>
    <row r="1" spans="1:6" x14ac:dyDescent="0.25">
      <c r="A1" s="87" t="s">
        <v>695</v>
      </c>
      <c r="B1" s="87" t="s">
        <v>696</v>
      </c>
      <c r="C1" s="87" t="s">
        <v>697</v>
      </c>
      <c r="D1" s="87" t="s">
        <v>434</v>
      </c>
      <c r="E1" s="87" t="s">
        <v>297</v>
      </c>
      <c r="F1" s="111" t="s">
        <v>435</v>
      </c>
    </row>
    <row r="2" spans="1:6" x14ac:dyDescent="0.25">
      <c r="A2" s="84">
        <v>1</v>
      </c>
      <c r="B2" s="84" t="s">
        <v>554</v>
      </c>
      <c r="C2" s="84" t="s">
        <v>1</v>
      </c>
      <c r="D2" s="84" t="s">
        <v>482</v>
      </c>
      <c r="E2" s="84" t="s">
        <v>554</v>
      </c>
      <c r="F2" s="112" t="s">
        <v>704</v>
      </c>
    </row>
    <row r="3" spans="1:6" x14ac:dyDescent="0.25">
      <c r="A3">
        <v>2</v>
      </c>
      <c r="B3" t="s">
        <v>534</v>
      </c>
      <c r="C3" t="s">
        <v>698</v>
      </c>
      <c r="D3" t="s">
        <v>482</v>
      </c>
      <c r="E3" t="s">
        <v>554</v>
      </c>
      <c r="F3" s="113" t="s">
        <v>705</v>
      </c>
    </row>
    <row r="4" spans="1:6" x14ac:dyDescent="0.25">
      <c r="A4" s="84">
        <v>3</v>
      </c>
      <c r="B4" s="84" t="s">
        <v>466</v>
      </c>
      <c r="C4" s="84" t="s">
        <v>1</v>
      </c>
      <c r="D4" s="84" t="s">
        <v>467</v>
      </c>
      <c r="E4" s="84" t="s">
        <v>466</v>
      </c>
      <c r="F4" s="112" t="s">
        <v>706</v>
      </c>
    </row>
    <row r="5" spans="1:6" x14ac:dyDescent="0.25">
      <c r="A5">
        <v>4</v>
      </c>
      <c r="B5" t="s">
        <v>561</v>
      </c>
      <c r="C5" t="s">
        <v>698</v>
      </c>
      <c r="D5" t="s">
        <v>482</v>
      </c>
      <c r="E5" t="s">
        <v>567</v>
      </c>
      <c r="F5" s="113" t="s">
        <v>707</v>
      </c>
    </row>
    <row r="6" spans="1:6" x14ac:dyDescent="0.25">
      <c r="A6" s="84">
        <v>5</v>
      </c>
      <c r="B6" s="84" t="s">
        <v>447</v>
      </c>
      <c r="C6" s="84" t="s">
        <v>1</v>
      </c>
      <c r="D6" s="84" t="s">
        <v>467</v>
      </c>
      <c r="E6" s="84" t="s">
        <v>447</v>
      </c>
      <c r="F6" s="112" t="s">
        <v>708</v>
      </c>
    </row>
    <row r="7" spans="1:6" x14ac:dyDescent="0.25">
      <c r="A7">
        <v>6</v>
      </c>
      <c r="B7" t="s">
        <v>525</v>
      </c>
      <c r="C7" t="s">
        <v>698</v>
      </c>
      <c r="D7" t="s">
        <v>467</v>
      </c>
      <c r="E7" t="s">
        <v>445</v>
      </c>
      <c r="F7" s="113" t="s">
        <v>709</v>
      </c>
    </row>
    <row r="8" spans="1:6" x14ac:dyDescent="0.25">
      <c r="A8" s="84">
        <v>7</v>
      </c>
      <c r="B8" s="84" t="s">
        <v>567</v>
      </c>
      <c r="C8" s="84" t="s">
        <v>1</v>
      </c>
      <c r="D8" s="84" t="s">
        <v>482</v>
      </c>
      <c r="E8" s="84" t="s">
        <v>567</v>
      </c>
      <c r="F8" s="112" t="s">
        <v>710</v>
      </c>
    </row>
    <row r="9" spans="1:6" x14ac:dyDescent="0.25">
      <c r="A9">
        <v>8</v>
      </c>
      <c r="B9" t="s">
        <v>566</v>
      </c>
      <c r="C9" t="s">
        <v>698</v>
      </c>
      <c r="D9" t="s">
        <v>482</v>
      </c>
      <c r="E9" t="s">
        <v>462</v>
      </c>
      <c r="F9" s="113" t="s">
        <v>711</v>
      </c>
    </row>
    <row r="10" spans="1:6" x14ac:dyDescent="0.25">
      <c r="A10" s="84">
        <v>9</v>
      </c>
      <c r="B10" s="84" t="s">
        <v>449</v>
      </c>
      <c r="C10" s="84" t="s">
        <v>1</v>
      </c>
      <c r="D10" s="84" t="s">
        <v>467</v>
      </c>
      <c r="E10" s="84" t="s">
        <v>449</v>
      </c>
      <c r="F10" s="112" t="s">
        <v>712</v>
      </c>
    </row>
    <row r="11" spans="1:6" x14ac:dyDescent="0.25">
      <c r="A11">
        <v>10</v>
      </c>
      <c r="B11" t="s">
        <v>516</v>
      </c>
      <c r="C11" t="s">
        <v>698</v>
      </c>
      <c r="D11" t="s">
        <v>467</v>
      </c>
      <c r="E11" t="s">
        <v>445</v>
      </c>
      <c r="F11" s="113" t="s">
        <v>713</v>
      </c>
    </row>
    <row r="12" spans="1:6" x14ac:dyDescent="0.25">
      <c r="A12" s="84">
        <v>11</v>
      </c>
      <c r="B12" s="84" t="s">
        <v>477</v>
      </c>
      <c r="C12" s="84" t="s">
        <v>698</v>
      </c>
      <c r="D12" s="84" t="s">
        <v>482</v>
      </c>
      <c r="E12" s="84" t="s">
        <v>462</v>
      </c>
      <c r="F12" s="112" t="s">
        <v>714</v>
      </c>
    </row>
    <row r="13" spans="1:6" x14ac:dyDescent="0.25">
      <c r="A13">
        <v>12</v>
      </c>
      <c r="B13" t="s">
        <v>531</v>
      </c>
      <c r="C13" t="s">
        <v>698</v>
      </c>
      <c r="D13" t="s">
        <v>467</v>
      </c>
      <c r="E13" t="s">
        <v>445</v>
      </c>
      <c r="F13" s="113" t="s">
        <v>715</v>
      </c>
    </row>
    <row r="14" spans="1:6" x14ac:dyDescent="0.25">
      <c r="A14" s="84">
        <v>13</v>
      </c>
      <c r="B14" s="84" t="s">
        <v>527</v>
      </c>
      <c r="C14" s="84" t="s">
        <v>1</v>
      </c>
      <c r="D14" s="84" t="s">
        <v>699</v>
      </c>
      <c r="E14" s="84" t="s">
        <v>527</v>
      </c>
      <c r="F14" s="112" t="s">
        <v>716</v>
      </c>
    </row>
    <row r="15" spans="1:6" x14ac:dyDescent="0.25">
      <c r="A15">
        <v>14</v>
      </c>
      <c r="B15" t="s">
        <v>482</v>
      </c>
      <c r="C15" t="s">
        <v>700</v>
      </c>
      <c r="D15" t="s">
        <v>482</v>
      </c>
      <c r="F15" s="113" t="s">
        <v>717</v>
      </c>
    </row>
    <row r="16" spans="1:6" x14ac:dyDescent="0.25">
      <c r="A16" s="84">
        <v>15</v>
      </c>
      <c r="B16" s="84" t="s">
        <v>445</v>
      </c>
      <c r="C16" s="84" t="s">
        <v>1</v>
      </c>
      <c r="D16" s="84" t="s">
        <v>467</v>
      </c>
      <c r="E16" s="84" t="s">
        <v>445</v>
      </c>
      <c r="F16" s="112" t="s">
        <v>718</v>
      </c>
    </row>
    <row r="17" spans="1:6" x14ac:dyDescent="0.25">
      <c r="A17">
        <v>16</v>
      </c>
      <c r="B17" t="s">
        <v>555</v>
      </c>
      <c r="C17" t="s">
        <v>698</v>
      </c>
      <c r="D17" t="s">
        <v>467</v>
      </c>
      <c r="E17" t="s">
        <v>469</v>
      </c>
      <c r="F17" s="113" t="s">
        <v>719</v>
      </c>
    </row>
    <row r="18" spans="1:6" x14ac:dyDescent="0.25">
      <c r="A18" s="84">
        <v>17</v>
      </c>
      <c r="B18" s="84" t="s">
        <v>526</v>
      </c>
      <c r="C18" s="84" t="s">
        <v>698</v>
      </c>
      <c r="D18" s="84" t="s">
        <v>467</v>
      </c>
      <c r="E18" s="84" t="s">
        <v>445</v>
      </c>
      <c r="F18" s="112" t="s">
        <v>720</v>
      </c>
    </row>
    <row r="19" spans="1:6" x14ac:dyDescent="0.25">
      <c r="A19">
        <v>18</v>
      </c>
      <c r="B19" t="s">
        <v>540</v>
      </c>
      <c r="C19" t="s">
        <v>698</v>
      </c>
      <c r="D19" t="s">
        <v>467</v>
      </c>
      <c r="E19" t="s">
        <v>445</v>
      </c>
      <c r="F19" s="113" t="s">
        <v>721</v>
      </c>
    </row>
    <row r="20" spans="1:6" x14ac:dyDescent="0.25">
      <c r="A20" s="84">
        <v>19</v>
      </c>
      <c r="B20" s="84" t="s">
        <v>543</v>
      </c>
      <c r="C20" s="84" t="s">
        <v>1</v>
      </c>
      <c r="D20" s="84" t="s">
        <v>467</v>
      </c>
      <c r="E20" s="84" t="s">
        <v>543</v>
      </c>
      <c r="F20" s="84"/>
    </row>
    <row r="21" spans="1:6" x14ac:dyDescent="0.25">
      <c r="A21">
        <v>20</v>
      </c>
      <c r="B21" t="s">
        <v>467</v>
      </c>
      <c r="C21" t="s">
        <v>700</v>
      </c>
      <c r="D21" t="s">
        <v>467</v>
      </c>
      <c r="F21" s="113" t="s">
        <v>722</v>
      </c>
    </row>
    <row r="22" spans="1:6" x14ac:dyDescent="0.25">
      <c r="A22" s="84">
        <v>21</v>
      </c>
      <c r="B22" s="84" t="s">
        <v>545</v>
      </c>
      <c r="C22" s="84" t="s">
        <v>698</v>
      </c>
      <c r="D22" s="84" t="s">
        <v>467</v>
      </c>
      <c r="E22" s="84" t="s">
        <v>470</v>
      </c>
      <c r="F22" s="112" t="s">
        <v>723</v>
      </c>
    </row>
    <row r="23" spans="1:6" x14ac:dyDescent="0.25">
      <c r="A23">
        <v>22</v>
      </c>
      <c r="B23" t="s">
        <v>557</v>
      </c>
      <c r="C23" t="s">
        <v>1</v>
      </c>
      <c r="D23" t="s">
        <v>701</v>
      </c>
      <c r="E23" t="s">
        <v>557</v>
      </c>
      <c r="F23" s="113" t="s">
        <v>724</v>
      </c>
    </row>
    <row r="24" spans="1:6" x14ac:dyDescent="0.25">
      <c r="A24" s="84">
        <v>23</v>
      </c>
      <c r="B24" s="84" t="s">
        <v>563</v>
      </c>
      <c r="C24" s="84" t="s">
        <v>698</v>
      </c>
      <c r="D24" s="84" t="s">
        <v>482</v>
      </c>
      <c r="E24" s="84" t="s">
        <v>567</v>
      </c>
      <c r="F24" s="112" t="s">
        <v>725</v>
      </c>
    </row>
    <row r="25" spans="1:6" x14ac:dyDescent="0.25">
      <c r="A25">
        <v>24</v>
      </c>
      <c r="B25" t="s">
        <v>556</v>
      </c>
      <c r="C25" t="s">
        <v>698</v>
      </c>
      <c r="D25" t="s">
        <v>482</v>
      </c>
      <c r="E25" t="s">
        <v>482</v>
      </c>
      <c r="F25" s="113" t="s">
        <v>726</v>
      </c>
    </row>
    <row r="26" spans="1:6" x14ac:dyDescent="0.25">
      <c r="A26" s="84">
        <v>25</v>
      </c>
      <c r="B26" s="84" t="s">
        <v>448</v>
      </c>
      <c r="C26" s="84" t="s">
        <v>698</v>
      </c>
      <c r="D26" s="84" t="s">
        <v>482</v>
      </c>
      <c r="E26" s="84" t="s">
        <v>462</v>
      </c>
      <c r="F26" s="112" t="s">
        <v>727</v>
      </c>
    </row>
    <row r="27" spans="1:6" x14ac:dyDescent="0.25">
      <c r="A27">
        <v>26</v>
      </c>
      <c r="B27" t="s">
        <v>519</v>
      </c>
      <c r="C27" t="s">
        <v>698</v>
      </c>
      <c r="D27" t="s">
        <v>467</v>
      </c>
      <c r="E27" t="s">
        <v>445</v>
      </c>
      <c r="F27" s="113" t="s">
        <v>728</v>
      </c>
    </row>
    <row r="28" spans="1:6" x14ac:dyDescent="0.25">
      <c r="A28" s="84">
        <v>27</v>
      </c>
      <c r="B28" s="84" t="s">
        <v>562</v>
      </c>
      <c r="C28" s="84" t="s">
        <v>698</v>
      </c>
      <c r="D28" s="84" t="s">
        <v>482</v>
      </c>
      <c r="E28" s="84" t="s">
        <v>567</v>
      </c>
      <c r="F28" s="112" t="s">
        <v>729</v>
      </c>
    </row>
    <row r="29" spans="1:6" x14ac:dyDescent="0.25">
      <c r="A29">
        <v>28</v>
      </c>
      <c r="B29" t="s">
        <v>521</v>
      </c>
      <c r="C29" t="s">
        <v>698</v>
      </c>
      <c r="D29" t="s">
        <v>467</v>
      </c>
      <c r="E29" t="s">
        <v>445</v>
      </c>
      <c r="F29" s="113" t="s">
        <v>730</v>
      </c>
    </row>
    <row r="30" spans="1:6" x14ac:dyDescent="0.25">
      <c r="A30" s="84">
        <v>29</v>
      </c>
      <c r="B30" s="84" t="s">
        <v>541</v>
      </c>
      <c r="C30" s="84" t="s">
        <v>698</v>
      </c>
      <c r="D30" s="84" t="s">
        <v>467</v>
      </c>
      <c r="E30" s="84" t="s">
        <v>445</v>
      </c>
      <c r="F30" s="112" t="s">
        <v>731</v>
      </c>
    </row>
    <row r="31" spans="1:6" x14ac:dyDescent="0.25">
      <c r="A31">
        <v>30</v>
      </c>
      <c r="B31" t="s">
        <v>533</v>
      </c>
      <c r="C31" t="s">
        <v>698</v>
      </c>
      <c r="D31" t="s">
        <v>467</v>
      </c>
      <c r="E31" t="s">
        <v>445</v>
      </c>
      <c r="F31" s="113" t="s">
        <v>732</v>
      </c>
    </row>
    <row r="32" spans="1:6" x14ac:dyDescent="0.25">
      <c r="A32" s="84">
        <v>31</v>
      </c>
      <c r="B32" s="84" t="s">
        <v>481</v>
      </c>
      <c r="C32" s="84" t="s">
        <v>698</v>
      </c>
      <c r="D32" s="84" t="s">
        <v>482</v>
      </c>
      <c r="E32" s="84" t="s">
        <v>462</v>
      </c>
      <c r="F32" s="112" t="s">
        <v>733</v>
      </c>
    </row>
    <row r="33" spans="1:6" x14ac:dyDescent="0.25">
      <c r="A33">
        <v>32</v>
      </c>
      <c r="B33" t="s">
        <v>478</v>
      </c>
      <c r="C33" t="s">
        <v>698</v>
      </c>
      <c r="D33" t="s">
        <v>482</v>
      </c>
      <c r="E33" t="s">
        <v>462</v>
      </c>
      <c r="F33" s="113" t="s">
        <v>734</v>
      </c>
    </row>
    <row r="34" spans="1:6" x14ac:dyDescent="0.25">
      <c r="A34" s="84">
        <v>33</v>
      </c>
      <c r="B34" s="84" t="s">
        <v>530</v>
      </c>
      <c r="C34" s="84" t="s">
        <v>698</v>
      </c>
      <c r="D34" s="84" t="s">
        <v>467</v>
      </c>
      <c r="E34" s="84" t="s">
        <v>445</v>
      </c>
      <c r="F34" s="112" t="s">
        <v>735</v>
      </c>
    </row>
    <row r="35" spans="1:6" x14ac:dyDescent="0.25">
      <c r="A35">
        <v>34</v>
      </c>
      <c r="B35" t="s">
        <v>479</v>
      </c>
      <c r="C35" t="s">
        <v>698</v>
      </c>
      <c r="D35" t="s">
        <v>482</v>
      </c>
      <c r="E35" t="s">
        <v>462</v>
      </c>
      <c r="F35" s="113" t="s">
        <v>736</v>
      </c>
    </row>
    <row r="36" spans="1:6" x14ac:dyDescent="0.25">
      <c r="A36" s="84">
        <v>35</v>
      </c>
      <c r="B36" s="84" t="s">
        <v>558</v>
      </c>
      <c r="C36" s="84" t="s">
        <v>698</v>
      </c>
      <c r="D36" s="84" t="s">
        <v>467</v>
      </c>
      <c r="E36" s="84" t="s">
        <v>469</v>
      </c>
      <c r="F36" s="112" t="s">
        <v>737</v>
      </c>
    </row>
    <row r="37" spans="1:6" x14ac:dyDescent="0.25">
      <c r="A37">
        <v>36</v>
      </c>
      <c r="B37" t="s">
        <v>532</v>
      </c>
      <c r="C37" t="s">
        <v>698</v>
      </c>
      <c r="D37" t="s">
        <v>467</v>
      </c>
      <c r="E37" t="s">
        <v>445</v>
      </c>
      <c r="F37" s="113" t="s">
        <v>738</v>
      </c>
    </row>
    <row r="38" spans="1:6" x14ac:dyDescent="0.25">
      <c r="A38" s="84">
        <v>37</v>
      </c>
      <c r="B38" s="84" t="s">
        <v>542</v>
      </c>
      <c r="C38" s="84" t="s">
        <v>698</v>
      </c>
      <c r="D38" s="84" t="s">
        <v>467</v>
      </c>
      <c r="E38" s="84" t="s">
        <v>445</v>
      </c>
      <c r="F38" s="112" t="s">
        <v>739</v>
      </c>
    </row>
    <row r="39" spans="1:6" x14ac:dyDescent="0.25">
      <c r="A39">
        <v>38</v>
      </c>
      <c r="B39" t="s">
        <v>520</v>
      </c>
      <c r="C39" t="s">
        <v>698</v>
      </c>
      <c r="D39" t="s">
        <v>467</v>
      </c>
      <c r="E39" t="s">
        <v>445</v>
      </c>
      <c r="F39" s="113" t="s">
        <v>740</v>
      </c>
    </row>
    <row r="40" spans="1:6" x14ac:dyDescent="0.25">
      <c r="A40" s="84">
        <v>39</v>
      </c>
      <c r="B40" s="84" t="s">
        <v>468</v>
      </c>
      <c r="C40" s="84" t="s">
        <v>1</v>
      </c>
      <c r="D40" s="84" t="s">
        <v>467</v>
      </c>
      <c r="E40" s="84" t="s">
        <v>468</v>
      </c>
      <c r="F40" s="112" t="s">
        <v>741</v>
      </c>
    </row>
    <row r="41" spans="1:6" x14ac:dyDescent="0.25">
      <c r="A41">
        <v>40</v>
      </c>
      <c r="B41" t="s">
        <v>565</v>
      </c>
      <c r="C41" t="s">
        <v>698</v>
      </c>
      <c r="D41" t="s">
        <v>482</v>
      </c>
      <c r="E41" t="s">
        <v>462</v>
      </c>
      <c r="F41" s="113" t="s">
        <v>742</v>
      </c>
    </row>
    <row r="42" spans="1:6" x14ac:dyDescent="0.25">
      <c r="A42" s="84">
        <v>41</v>
      </c>
      <c r="B42" s="84" t="s">
        <v>559</v>
      </c>
      <c r="C42" s="84" t="s">
        <v>698</v>
      </c>
      <c r="D42" s="84" t="s">
        <v>467</v>
      </c>
      <c r="E42" s="84" t="s">
        <v>469</v>
      </c>
      <c r="F42" s="112" t="s">
        <v>743</v>
      </c>
    </row>
    <row r="43" spans="1:6" x14ac:dyDescent="0.25">
      <c r="A43">
        <v>42</v>
      </c>
      <c r="B43" t="s">
        <v>469</v>
      </c>
      <c r="C43" t="s">
        <v>1</v>
      </c>
      <c r="D43" t="s">
        <v>467</v>
      </c>
      <c r="E43" t="s">
        <v>469</v>
      </c>
      <c r="F43" s="113" t="s">
        <v>744</v>
      </c>
    </row>
    <row r="44" spans="1:6" x14ac:dyDescent="0.25">
      <c r="A44" s="84">
        <v>43</v>
      </c>
      <c r="B44" s="84" t="s">
        <v>462</v>
      </c>
      <c r="C44" s="84" t="s">
        <v>1</v>
      </c>
      <c r="D44" s="84" t="s">
        <v>482</v>
      </c>
      <c r="E44" s="84" t="s">
        <v>462</v>
      </c>
      <c r="F44" s="112" t="s">
        <v>745</v>
      </c>
    </row>
    <row r="45" spans="1:6" x14ac:dyDescent="0.25">
      <c r="A45">
        <v>44</v>
      </c>
      <c r="B45" t="s">
        <v>480</v>
      </c>
      <c r="C45" t="s">
        <v>698</v>
      </c>
      <c r="D45" t="s">
        <v>482</v>
      </c>
      <c r="E45" t="s">
        <v>462</v>
      </c>
      <c r="F45" s="113" t="s">
        <v>746</v>
      </c>
    </row>
    <row r="46" spans="1:6" x14ac:dyDescent="0.25">
      <c r="A46" s="84">
        <v>45</v>
      </c>
      <c r="B46" s="84" t="s">
        <v>505</v>
      </c>
      <c r="C46" s="84" t="s">
        <v>1</v>
      </c>
      <c r="D46" s="84" t="s">
        <v>702</v>
      </c>
      <c r="E46" s="84" t="s">
        <v>505</v>
      </c>
      <c r="F46" s="112" t="s">
        <v>747</v>
      </c>
    </row>
    <row r="47" spans="1:6" x14ac:dyDescent="0.25">
      <c r="A47">
        <v>46</v>
      </c>
      <c r="B47" t="s">
        <v>470</v>
      </c>
      <c r="C47" t="s">
        <v>1</v>
      </c>
      <c r="D47" t="s">
        <v>467</v>
      </c>
      <c r="E47" t="s">
        <v>470</v>
      </c>
      <c r="F47" s="113" t="s">
        <v>748</v>
      </c>
    </row>
  </sheetData>
  <autoFilter ref="A1:F47" xr:uid="{00000000-0009-0000-0000-000002000000}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90924-7C80-4AA0-AB64-983A10EDB007}">
  <dimension ref="A1:G192"/>
  <sheetViews>
    <sheetView workbookViewId="0">
      <pane ySplit="1" topLeftCell="A95" activePane="bottomLeft" state="frozen"/>
      <selection activeCell="B22" sqref="B22"/>
      <selection pane="bottomLeft" activeCell="H100" sqref="H100"/>
    </sheetView>
  </sheetViews>
  <sheetFormatPr baseColWidth="10" defaultColWidth="9.140625" defaultRowHeight="15" x14ac:dyDescent="0.25"/>
  <cols>
    <col min="1" max="2" width="10" customWidth="1"/>
    <col min="3" max="3" width="55" customWidth="1"/>
    <col min="4" max="4" width="16.7109375" customWidth="1"/>
    <col min="5" max="5" width="29.28515625" customWidth="1"/>
    <col min="6" max="7" width="19.85546875" customWidth="1"/>
  </cols>
  <sheetData>
    <row r="1" spans="1:7" x14ac:dyDescent="0.25">
      <c r="A1" s="83" t="s">
        <v>694</v>
      </c>
      <c r="B1" s="83" t="s">
        <v>569</v>
      </c>
      <c r="C1" s="83" t="s">
        <v>441</v>
      </c>
      <c r="D1" s="83" t="s">
        <v>695</v>
      </c>
      <c r="E1" s="83" t="s">
        <v>442</v>
      </c>
      <c r="F1" s="83" t="s">
        <v>703</v>
      </c>
      <c r="G1" s="83" t="s">
        <v>443</v>
      </c>
    </row>
    <row r="2" spans="1:7" x14ac:dyDescent="0.25">
      <c r="A2" s="84">
        <v>1</v>
      </c>
      <c r="B2" s="84" t="s">
        <v>576</v>
      </c>
      <c r="C2" s="84" t="s">
        <v>444</v>
      </c>
      <c r="D2" s="84">
        <v>15</v>
      </c>
      <c r="E2" s="84" t="s">
        <v>445</v>
      </c>
      <c r="F2" s="84" t="s">
        <v>1</v>
      </c>
      <c r="G2" s="84" t="s">
        <v>445</v>
      </c>
    </row>
    <row r="3" spans="1:7" x14ac:dyDescent="0.25">
      <c r="A3">
        <v>2</v>
      </c>
      <c r="B3" t="s">
        <v>580</v>
      </c>
      <c r="C3" t="s">
        <v>446</v>
      </c>
      <c r="D3">
        <v>15</v>
      </c>
      <c r="E3" t="s">
        <v>445</v>
      </c>
      <c r="F3" t="s">
        <v>1</v>
      </c>
      <c r="G3" t="s">
        <v>445</v>
      </c>
    </row>
    <row r="4" spans="1:7" x14ac:dyDescent="0.25">
      <c r="A4" s="84">
        <v>2</v>
      </c>
      <c r="B4" s="84" t="s">
        <v>580</v>
      </c>
      <c r="C4" s="84" t="s">
        <v>446</v>
      </c>
      <c r="D4" s="84">
        <v>5</v>
      </c>
      <c r="E4" s="84" t="s">
        <v>447</v>
      </c>
      <c r="F4" s="84" t="s">
        <v>1</v>
      </c>
      <c r="G4" s="84" t="s">
        <v>445</v>
      </c>
    </row>
    <row r="5" spans="1:7" x14ac:dyDescent="0.25">
      <c r="A5">
        <v>2</v>
      </c>
      <c r="B5" t="s">
        <v>580</v>
      </c>
      <c r="C5" t="s">
        <v>446</v>
      </c>
      <c r="D5">
        <v>25</v>
      </c>
      <c r="E5" t="s">
        <v>448</v>
      </c>
      <c r="F5" t="s">
        <v>698</v>
      </c>
      <c r="G5" t="s">
        <v>445</v>
      </c>
    </row>
    <row r="6" spans="1:7" x14ac:dyDescent="0.25">
      <c r="A6" s="84">
        <v>2</v>
      </c>
      <c r="B6" s="84" t="s">
        <v>580</v>
      </c>
      <c r="C6" s="84" t="s">
        <v>446</v>
      </c>
      <c r="D6" s="84">
        <v>9</v>
      </c>
      <c r="E6" s="84" t="s">
        <v>449</v>
      </c>
      <c r="F6" s="84" t="s">
        <v>1</v>
      </c>
      <c r="G6" s="84" t="s">
        <v>445</v>
      </c>
    </row>
    <row r="7" spans="1:7" x14ac:dyDescent="0.25">
      <c r="A7">
        <v>3</v>
      </c>
      <c r="B7" t="s">
        <v>582</v>
      </c>
      <c r="C7" t="s">
        <v>450</v>
      </c>
      <c r="D7">
        <v>15</v>
      </c>
      <c r="E7" t="s">
        <v>445</v>
      </c>
      <c r="F7" t="s">
        <v>1</v>
      </c>
      <c r="G7" t="s">
        <v>445</v>
      </c>
    </row>
    <row r="8" spans="1:7" x14ac:dyDescent="0.25">
      <c r="A8" s="84">
        <v>3</v>
      </c>
      <c r="B8" s="84" t="s">
        <v>582</v>
      </c>
      <c r="C8" s="84" t="s">
        <v>450</v>
      </c>
      <c r="D8" s="84">
        <v>5</v>
      </c>
      <c r="E8" s="84" t="s">
        <v>447</v>
      </c>
      <c r="F8" s="84" t="s">
        <v>1</v>
      </c>
      <c r="G8" s="84" t="s">
        <v>445</v>
      </c>
    </row>
    <row r="9" spans="1:7" x14ac:dyDescent="0.25">
      <c r="A9">
        <v>3</v>
      </c>
      <c r="B9" t="s">
        <v>582</v>
      </c>
      <c r="C9" t="s">
        <v>450</v>
      </c>
      <c r="D9">
        <v>25</v>
      </c>
      <c r="E9" t="s">
        <v>448</v>
      </c>
      <c r="F9" t="s">
        <v>698</v>
      </c>
      <c r="G9" t="s">
        <v>445</v>
      </c>
    </row>
    <row r="10" spans="1:7" x14ac:dyDescent="0.25">
      <c r="A10" s="84">
        <v>3</v>
      </c>
      <c r="B10" s="84" t="s">
        <v>582</v>
      </c>
      <c r="C10" s="84" t="s">
        <v>450</v>
      </c>
      <c r="D10" s="84">
        <v>9</v>
      </c>
      <c r="E10" s="84" t="s">
        <v>449</v>
      </c>
      <c r="F10" s="84" t="s">
        <v>1</v>
      </c>
      <c r="G10" s="84" t="s">
        <v>445</v>
      </c>
    </row>
    <row r="11" spans="1:7" x14ac:dyDescent="0.25">
      <c r="A11">
        <v>4</v>
      </c>
      <c r="B11" t="s">
        <v>583</v>
      </c>
      <c r="C11" t="s">
        <v>451</v>
      </c>
      <c r="D11">
        <v>15</v>
      </c>
      <c r="E11" t="s">
        <v>445</v>
      </c>
      <c r="F11" t="s">
        <v>1</v>
      </c>
      <c r="G11" t="s">
        <v>445</v>
      </c>
    </row>
    <row r="12" spans="1:7" x14ac:dyDescent="0.25">
      <c r="A12" s="84">
        <v>5</v>
      </c>
      <c r="B12" s="84" t="s">
        <v>585</v>
      </c>
      <c r="C12" s="84" t="s">
        <v>452</v>
      </c>
      <c r="D12" s="84">
        <v>15</v>
      </c>
      <c r="E12" s="84" t="s">
        <v>445</v>
      </c>
      <c r="F12" s="84" t="s">
        <v>1</v>
      </c>
      <c r="G12" s="84" t="s">
        <v>445</v>
      </c>
    </row>
    <row r="13" spans="1:7" x14ac:dyDescent="0.25">
      <c r="A13">
        <v>6</v>
      </c>
      <c r="B13" t="s">
        <v>587</v>
      </c>
      <c r="C13" t="s">
        <v>453</v>
      </c>
      <c r="D13">
        <v>15</v>
      </c>
      <c r="E13" t="s">
        <v>445</v>
      </c>
      <c r="F13" t="s">
        <v>1</v>
      </c>
      <c r="G13" t="s">
        <v>445</v>
      </c>
    </row>
    <row r="14" spans="1:7" x14ac:dyDescent="0.25">
      <c r="A14" s="84">
        <v>7</v>
      </c>
      <c r="B14" s="84" t="s">
        <v>588</v>
      </c>
      <c r="C14" s="84" t="s">
        <v>454</v>
      </c>
      <c r="D14" s="84">
        <v>15</v>
      </c>
      <c r="E14" s="84" t="s">
        <v>445</v>
      </c>
      <c r="F14" s="84" t="s">
        <v>1</v>
      </c>
      <c r="G14" s="84" t="s">
        <v>445</v>
      </c>
    </row>
    <row r="15" spans="1:7" x14ac:dyDescent="0.25">
      <c r="A15">
        <v>8</v>
      </c>
      <c r="B15" t="s">
        <v>591</v>
      </c>
      <c r="C15" t="s">
        <v>455</v>
      </c>
      <c r="D15">
        <v>15</v>
      </c>
      <c r="E15" t="s">
        <v>445</v>
      </c>
      <c r="F15" t="s">
        <v>1</v>
      </c>
      <c r="G15" t="s">
        <v>445</v>
      </c>
    </row>
    <row r="16" spans="1:7" x14ac:dyDescent="0.25">
      <c r="A16" s="84">
        <v>9</v>
      </c>
      <c r="B16" s="84" t="s">
        <v>592</v>
      </c>
      <c r="C16" s="84" t="s">
        <v>456</v>
      </c>
      <c r="D16" s="84">
        <v>15</v>
      </c>
      <c r="E16" s="84" t="s">
        <v>445</v>
      </c>
      <c r="F16" s="84" t="s">
        <v>1</v>
      </c>
      <c r="G16" s="84" t="s">
        <v>445</v>
      </c>
    </row>
    <row r="17" spans="1:7" x14ac:dyDescent="0.25">
      <c r="A17">
        <v>10</v>
      </c>
      <c r="B17" t="s">
        <v>593</v>
      </c>
      <c r="C17" t="s">
        <v>457</v>
      </c>
      <c r="D17">
        <v>15</v>
      </c>
      <c r="E17" t="s">
        <v>445</v>
      </c>
      <c r="F17" t="s">
        <v>1</v>
      </c>
      <c r="G17" t="s">
        <v>445</v>
      </c>
    </row>
    <row r="18" spans="1:7" x14ac:dyDescent="0.25">
      <c r="A18" s="84">
        <v>11</v>
      </c>
      <c r="B18" s="84" t="s">
        <v>594</v>
      </c>
      <c r="C18" s="84" t="s">
        <v>458</v>
      </c>
      <c r="D18" s="84">
        <v>15</v>
      </c>
      <c r="E18" s="84" t="s">
        <v>445</v>
      </c>
      <c r="F18" s="84" t="s">
        <v>1</v>
      </c>
      <c r="G18" s="84" t="s">
        <v>445</v>
      </c>
    </row>
    <row r="19" spans="1:7" x14ac:dyDescent="0.25">
      <c r="A19">
        <v>12</v>
      </c>
      <c r="B19" t="s">
        <v>595</v>
      </c>
      <c r="C19" t="s">
        <v>459</v>
      </c>
      <c r="D19">
        <v>15</v>
      </c>
      <c r="E19" t="s">
        <v>445</v>
      </c>
      <c r="F19" t="s">
        <v>1</v>
      </c>
      <c r="G19" t="s">
        <v>445</v>
      </c>
    </row>
    <row r="20" spans="1:7" x14ac:dyDescent="0.25">
      <c r="A20" s="84">
        <v>13</v>
      </c>
      <c r="B20" s="84" t="s">
        <v>597</v>
      </c>
      <c r="C20" s="84" t="s">
        <v>460</v>
      </c>
      <c r="D20" s="84">
        <v>15</v>
      </c>
      <c r="E20" s="84" t="s">
        <v>445</v>
      </c>
      <c r="F20" s="84" t="s">
        <v>1</v>
      </c>
      <c r="G20" s="84" t="s">
        <v>445</v>
      </c>
    </row>
    <row r="21" spans="1:7" x14ac:dyDescent="0.25">
      <c r="A21">
        <v>14</v>
      </c>
      <c r="B21" t="s">
        <v>599</v>
      </c>
      <c r="C21" t="s">
        <v>461</v>
      </c>
      <c r="D21">
        <v>9</v>
      </c>
      <c r="E21" t="s">
        <v>449</v>
      </c>
      <c r="F21" t="s">
        <v>1</v>
      </c>
      <c r="G21" t="s">
        <v>445</v>
      </c>
    </row>
    <row r="22" spans="1:7" x14ac:dyDescent="0.25">
      <c r="A22" s="84">
        <v>14</v>
      </c>
      <c r="B22" s="84" t="s">
        <v>599</v>
      </c>
      <c r="C22" s="84" t="s">
        <v>461</v>
      </c>
      <c r="D22" s="84">
        <v>5</v>
      </c>
      <c r="E22" s="84" t="s">
        <v>447</v>
      </c>
      <c r="F22" s="84" t="s">
        <v>1</v>
      </c>
      <c r="G22" s="84" t="s">
        <v>445</v>
      </c>
    </row>
    <row r="23" spans="1:7" x14ac:dyDescent="0.25">
      <c r="A23">
        <v>14</v>
      </c>
      <c r="B23" t="s">
        <v>599</v>
      </c>
      <c r="C23" t="s">
        <v>461</v>
      </c>
      <c r="D23">
        <v>43</v>
      </c>
      <c r="E23" t="s">
        <v>462</v>
      </c>
      <c r="F23" t="s">
        <v>1</v>
      </c>
      <c r="G23" t="s">
        <v>445</v>
      </c>
    </row>
    <row r="24" spans="1:7" x14ac:dyDescent="0.25">
      <c r="A24" s="84">
        <v>14</v>
      </c>
      <c r="B24" s="84" t="s">
        <v>599</v>
      </c>
      <c r="C24" s="84" t="s">
        <v>461</v>
      </c>
      <c r="D24" s="84">
        <v>25</v>
      </c>
      <c r="E24" s="84" t="s">
        <v>448</v>
      </c>
      <c r="F24" s="84" t="s">
        <v>698</v>
      </c>
      <c r="G24" s="84" t="s">
        <v>445</v>
      </c>
    </row>
    <row r="25" spans="1:7" x14ac:dyDescent="0.25">
      <c r="A25">
        <v>14</v>
      </c>
      <c r="B25" t="s">
        <v>599</v>
      </c>
      <c r="C25" t="s">
        <v>461</v>
      </c>
      <c r="D25">
        <v>15</v>
      </c>
      <c r="E25" t="s">
        <v>445</v>
      </c>
      <c r="F25" t="s">
        <v>1</v>
      </c>
      <c r="G25" t="s">
        <v>445</v>
      </c>
    </row>
    <row r="26" spans="1:7" x14ac:dyDescent="0.25">
      <c r="A26" s="84">
        <v>15</v>
      </c>
      <c r="B26" s="84" t="s">
        <v>600</v>
      </c>
      <c r="C26" s="84" t="s">
        <v>463</v>
      </c>
      <c r="D26" s="84">
        <v>15</v>
      </c>
      <c r="E26" s="84" t="s">
        <v>445</v>
      </c>
      <c r="F26" s="84" t="s">
        <v>1</v>
      </c>
      <c r="G26" s="84" t="s">
        <v>445</v>
      </c>
    </row>
    <row r="27" spans="1:7" x14ac:dyDescent="0.25">
      <c r="A27">
        <v>16</v>
      </c>
      <c r="B27" t="s">
        <v>601</v>
      </c>
      <c r="C27" t="s">
        <v>464</v>
      </c>
      <c r="D27">
        <v>15</v>
      </c>
      <c r="E27" t="s">
        <v>445</v>
      </c>
      <c r="F27" t="s">
        <v>1</v>
      </c>
      <c r="G27" t="s">
        <v>445</v>
      </c>
    </row>
    <row r="28" spans="1:7" x14ac:dyDescent="0.25">
      <c r="A28" s="84">
        <v>17</v>
      </c>
      <c r="B28" s="84" t="s">
        <v>602</v>
      </c>
      <c r="C28" s="84" t="s">
        <v>465</v>
      </c>
      <c r="D28" s="84">
        <v>15</v>
      </c>
      <c r="E28" s="84" t="s">
        <v>445</v>
      </c>
      <c r="F28" s="84" t="s">
        <v>1</v>
      </c>
      <c r="G28" s="84" t="s">
        <v>445</v>
      </c>
    </row>
    <row r="29" spans="1:7" x14ac:dyDescent="0.25">
      <c r="A29">
        <v>17</v>
      </c>
      <c r="B29" t="s">
        <v>602</v>
      </c>
      <c r="C29" t="s">
        <v>465</v>
      </c>
      <c r="D29">
        <v>9</v>
      </c>
      <c r="E29" t="s">
        <v>449</v>
      </c>
      <c r="F29" t="s">
        <v>1</v>
      </c>
      <c r="G29" t="s">
        <v>445</v>
      </c>
    </row>
    <row r="30" spans="1:7" x14ac:dyDescent="0.25">
      <c r="A30" s="84">
        <v>17</v>
      </c>
      <c r="B30" s="84" t="s">
        <v>602</v>
      </c>
      <c r="C30" s="84" t="s">
        <v>465</v>
      </c>
      <c r="D30" s="84">
        <v>3</v>
      </c>
      <c r="E30" s="84" t="s">
        <v>466</v>
      </c>
      <c r="F30" s="84" t="s">
        <v>1</v>
      </c>
      <c r="G30" s="84" t="s">
        <v>445</v>
      </c>
    </row>
    <row r="31" spans="1:7" x14ac:dyDescent="0.25">
      <c r="A31">
        <v>17</v>
      </c>
      <c r="B31" t="s">
        <v>602</v>
      </c>
      <c r="C31" t="s">
        <v>465</v>
      </c>
      <c r="D31">
        <v>20</v>
      </c>
      <c r="E31" t="s">
        <v>467</v>
      </c>
      <c r="F31" t="s">
        <v>700</v>
      </c>
      <c r="G31" t="s">
        <v>445</v>
      </c>
    </row>
    <row r="32" spans="1:7" x14ac:dyDescent="0.25">
      <c r="A32" s="84">
        <v>17</v>
      </c>
      <c r="B32" s="84" t="s">
        <v>602</v>
      </c>
      <c r="C32" s="84" t="s">
        <v>465</v>
      </c>
      <c r="D32" s="84">
        <v>39</v>
      </c>
      <c r="E32" s="84" t="s">
        <v>468</v>
      </c>
      <c r="F32" s="84" t="s">
        <v>1</v>
      </c>
      <c r="G32" s="84" t="s">
        <v>445</v>
      </c>
    </row>
    <row r="33" spans="1:7" x14ac:dyDescent="0.25">
      <c r="A33">
        <v>17</v>
      </c>
      <c r="B33" t="s">
        <v>602</v>
      </c>
      <c r="C33" t="s">
        <v>465</v>
      </c>
      <c r="D33">
        <v>42</v>
      </c>
      <c r="E33" t="s">
        <v>469</v>
      </c>
      <c r="F33" t="s">
        <v>1</v>
      </c>
      <c r="G33" t="s">
        <v>445</v>
      </c>
    </row>
    <row r="34" spans="1:7" x14ac:dyDescent="0.25">
      <c r="A34" s="84">
        <v>17</v>
      </c>
      <c r="B34" s="84" t="s">
        <v>602</v>
      </c>
      <c r="C34" s="84" t="s">
        <v>465</v>
      </c>
      <c r="D34" s="84">
        <v>46</v>
      </c>
      <c r="E34" s="84" t="s">
        <v>470</v>
      </c>
      <c r="F34" s="84" t="s">
        <v>1</v>
      </c>
      <c r="G34" s="84" t="s">
        <v>445</v>
      </c>
    </row>
    <row r="35" spans="1:7" x14ac:dyDescent="0.25">
      <c r="A35">
        <v>17</v>
      </c>
      <c r="B35" t="s">
        <v>602</v>
      </c>
      <c r="C35" t="s">
        <v>465</v>
      </c>
      <c r="D35">
        <v>5</v>
      </c>
      <c r="E35" t="s">
        <v>447</v>
      </c>
      <c r="F35" t="s">
        <v>1</v>
      </c>
      <c r="G35" t="s">
        <v>445</v>
      </c>
    </row>
    <row r="36" spans="1:7" x14ac:dyDescent="0.25">
      <c r="A36" s="84">
        <v>18</v>
      </c>
      <c r="B36" s="84" t="s">
        <v>603</v>
      </c>
      <c r="C36" s="84" t="s">
        <v>471</v>
      </c>
      <c r="D36" s="84">
        <v>15</v>
      </c>
      <c r="E36" s="84" t="s">
        <v>445</v>
      </c>
      <c r="F36" s="84" t="s">
        <v>1</v>
      </c>
      <c r="G36" s="84" t="s">
        <v>445</v>
      </c>
    </row>
    <row r="37" spans="1:7" x14ac:dyDescent="0.25">
      <c r="A37">
        <v>19</v>
      </c>
      <c r="B37" t="s">
        <v>604</v>
      </c>
      <c r="C37" t="s">
        <v>472</v>
      </c>
      <c r="D37">
        <v>15</v>
      </c>
      <c r="E37" t="s">
        <v>445</v>
      </c>
      <c r="F37" t="s">
        <v>1</v>
      </c>
      <c r="G37" t="s">
        <v>445</v>
      </c>
    </row>
    <row r="38" spans="1:7" x14ac:dyDescent="0.25">
      <c r="A38" s="84">
        <v>20</v>
      </c>
      <c r="B38" s="84" t="s">
        <v>605</v>
      </c>
      <c r="C38" s="84" t="s">
        <v>473</v>
      </c>
      <c r="D38" s="84">
        <v>15</v>
      </c>
      <c r="E38" s="84" t="s">
        <v>445</v>
      </c>
      <c r="F38" s="84" t="s">
        <v>1</v>
      </c>
      <c r="G38" s="84" t="s">
        <v>445</v>
      </c>
    </row>
    <row r="39" spans="1:7" x14ac:dyDescent="0.25">
      <c r="A39">
        <v>21</v>
      </c>
      <c r="B39" t="s">
        <v>606</v>
      </c>
      <c r="C39" t="s">
        <v>474</v>
      </c>
      <c r="D39">
        <v>15</v>
      </c>
      <c r="E39" t="s">
        <v>445</v>
      </c>
      <c r="F39" t="s">
        <v>1</v>
      </c>
      <c r="G39" t="s">
        <v>445</v>
      </c>
    </row>
    <row r="40" spans="1:7" x14ac:dyDescent="0.25">
      <c r="A40" s="84">
        <v>22</v>
      </c>
      <c r="B40" s="84" t="s">
        <v>607</v>
      </c>
      <c r="C40" s="84" t="s">
        <v>475</v>
      </c>
      <c r="D40" s="84">
        <v>15</v>
      </c>
      <c r="E40" s="84" t="s">
        <v>445</v>
      </c>
      <c r="F40" s="84" t="s">
        <v>1</v>
      </c>
      <c r="G40" s="84" t="s">
        <v>445</v>
      </c>
    </row>
    <row r="41" spans="1:7" x14ac:dyDescent="0.25">
      <c r="A41">
        <v>23</v>
      </c>
      <c r="B41" t="s">
        <v>608</v>
      </c>
      <c r="C41" t="s">
        <v>476</v>
      </c>
      <c r="D41">
        <v>15</v>
      </c>
      <c r="E41" t="s">
        <v>445</v>
      </c>
      <c r="F41" t="s">
        <v>1</v>
      </c>
      <c r="G41" t="s">
        <v>445</v>
      </c>
    </row>
    <row r="42" spans="1:7" x14ac:dyDescent="0.25">
      <c r="A42" s="84">
        <v>23</v>
      </c>
      <c r="B42" s="84" t="s">
        <v>608</v>
      </c>
      <c r="C42" s="84" t="s">
        <v>476</v>
      </c>
      <c r="D42" s="84">
        <v>5</v>
      </c>
      <c r="E42" s="84" t="s">
        <v>447</v>
      </c>
      <c r="F42" s="84" t="s">
        <v>1</v>
      </c>
      <c r="G42" s="84" t="s">
        <v>445</v>
      </c>
    </row>
    <row r="43" spans="1:7" x14ac:dyDescent="0.25">
      <c r="A43">
        <v>23</v>
      </c>
      <c r="B43" t="s">
        <v>608</v>
      </c>
      <c r="C43" t="s">
        <v>476</v>
      </c>
      <c r="D43">
        <v>11</v>
      </c>
      <c r="E43" t="s">
        <v>477</v>
      </c>
      <c r="F43" t="s">
        <v>698</v>
      </c>
      <c r="G43" t="s">
        <v>445</v>
      </c>
    </row>
    <row r="44" spans="1:7" x14ac:dyDescent="0.25">
      <c r="A44" s="84">
        <v>23</v>
      </c>
      <c r="B44" s="84" t="s">
        <v>608</v>
      </c>
      <c r="C44" s="84" t="s">
        <v>476</v>
      </c>
      <c r="D44" s="84">
        <v>32</v>
      </c>
      <c r="E44" s="84" t="s">
        <v>478</v>
      </c>
      <c r="F44" s="84" t="s">
        <v>698</v>
      </c>
      <c r="G44" s="84" t="s">
        <v>445</v>
      </c>
    </row>
    <row r="45" spans="1:7" x14ac:dyDescent="0.25">
      <c r="A45">
        <v>23</v>
      </c>
      <c r="B45" t="s">
        <v>608</v>
      </c>
      <c r="C45" t="s">
        <v>476</v>
      </c>
      <c r="D45">
        <v>34</v>
      </c>
      <c r="E45" t="s">
        <v>479</v>
      </c>
      <c r="F45" t="s">
        <v>698</v>
      </c>
      <c r="G45" t="s">
        <v>445</v>
      </c>
    </row>
    <row r="46" spans="1:7" x14ac:dyDescent="0.25">
      <c r="A46" s="84">
        <v>23</v>
      </c>
      <c r="B46" s="84" t="s">
        <v>608</v>
      </c>
      <c r="C46" s="84" t="s">
        <v>476</v>
      </c>
      <c r="D46" s="84">
        <v>44</v>
      </c>
      <c r="E46" s="84" t="s">
        <v>480</v>
      </c>
      <c r="F46" s="84" t="s">
        <v>698</v>
      </c>
      <c r="G46" s="84" t="s">
        <v>445</v>
      </c>
    </row>
    <row r="47" spans="1:7" x14ac:dyDescent="0.25">
      <c r="A47">
        <v>23</v>
      </c>
      <c r="B47" t="s">
        <v>608</v>
      </c>
      <c r="C47" t="s">
        <v>476</v>
      </c>
      <c r="D47">
        <v>31</v>
      </c>
      <c r="E47" t="s">
        <v>481</v>
      </c>
      <c r="F47" t="s">
        <v>698</v>
      </c>
      <c r="G47" t="s">
        <v>445</v>
      </c>
    </row>
    <row r="48" spans="1:7" x14ac:dyDescent="0.25">
      <c r="A48" s="84">
        <v>23</v>
      </c>
      <c r="B48" s="84" t="s">
        <v>608</v>
      </c>
      <c r="C48" s="84" t="s">
        <v>476</v>
      </c>
      <c r="D48" s="84">
        <v>43</v>
      </c>
      <c r="E48" s="84" t="s">
        <v>462</v>
      </c>
      <c r="F48" s="84" t="s">
        <v>1</v>
      </c>
      <c r="G48" s="84" t="s">
        <v>445</v>
      </c>
    </row>
    <row r="49" spans="1:7" x14ac:dyDescent="0.25">
      <c r="A49">
        <v>23</v>
      </c>
      <c r="B49" t="s">
        <v>608</v>
      </c>
      <c r="C49" t="s">
        <v>476</v>
      </c>
      <c r="D49">
        <v>14</v>
      </c>
      <c r="E49" t="s">
        <v>482</v>
      </c>
      <c r="F49" t="s">
        <v>700</v>
      </c>
      <c r="G49" t="s">
        <v>445</v>
      </c>
    </row>
    <row r="50" spans="1:7" x14ac:dyDescent="0.25">
      <c r="A50" s="84">
        <v>24</v>
      </c>
      <c r="B50" s="84" t="s">
        <v>609</v>
      </c>
      <c r="C50" s="84" t="s">
        <v>483</v>
      </c>
      <c r="D50" s="84">
        <v>15</v>
      </c>
      <c r="E50" s="84" t="s">
        <v>445</v>
      </c>
      <c r="F50" s="84" t="s">
        <v>1</v>
      </c>
      <c r="G50" s="84" t="s">
        <v>445</v>
      </c>
    </row>
    <row r="51" spans="1:7" x14ac:dyDescent="0.25">
      <c r="A51">
        <v>25</v>
      </c>
      <c r="B51" t="s">
        <v>610</v>
      </c>
      <c r="C51" t="s">
        <v>484</v>
      </c>
      <c r="D51">
        <v>15</v>
      </c>
      <c r="E51" t="s">
        <v>445</v>
      </c>
      <c r="F51" t="s">
        <v>1</v>
      </c>
      <c r="G51" t="s">
        <v>445</v>
      </c>
    </row>
    <row r="52" spans="1:7" x14ac:dyDescent="0.25">
      <c r="A52" s="84">
        <v>26</v>
      </c>
      <c r="B52" s="84" t="s">
        <v>611</v>
      </c>
      <c r="C52" s="84" t="s">
        <v>485</v>
      </c>
      <c r="D52" s="84">
        <v>15</v>
      </c>
      <c r="E52" s="84" t="s">
        <v>445</v>
      </c>
      <c r="F52" s="84" t="s">
        <v>1</v>
      </c>
      <c r="G52" s="84" t="s">
        <v>445</v>
      </c>
    </row>
    <row r="53" spans="1:7" x14ac:dyDescent="0.25">
      <c r="A53">
        <v>27</v>
      </c>
      <c r="B53" t="s">
        <v>612</v>
      </c>
      <c r="C53" t="s">
        <v>486</v>
      </c>
      <c r="D53">
        <v>15</v>
      </c>
      <c r="E53" t="s">
        <v>445</v>
      </c>
      <c r="F53" t="s">
        <v>1</v>
      </c>
      <c r="G53" t="s">
        <v>445</v>
      </c>
    </row>
    <row r="54" spans="1:7" x14ac:dyDescent="0.25">
      <c r="A54" s="84">
        <v>28</v>
      </c>
      <c r="B54" s="84" t="s">
        <v>613</v>
      </c>
      <c r="C54" s="84" t="s">
        <v>487</v>
      </c>
      <c r="D54" s="84">
        <v>15</v>
      </c>
      <c r="E54" s="84" t="s">
        <v>445</v>
      </c>
      <c r="F54" s="84" t="s">
        <v>1</v>
      </c>
      <c r="G54" s="84" t="s">
        <v>445</v>
      </c>
    </row>
    <row r="55" spans="1:7" x14ac:dyDescent="0.25">
      <c r="A55">
        <v>29</v>
      </c>
      <c r="B55" t="s">
        <v>614</v>
      </c>
      <c r="C55" t="s">
        <v>488</v>
      </c>
      <c r="D55">
        <v>15</v>
      </c>
      <c r="E55" t="s">
        <v>445</v>
      </c>
      <c r="F55" t="s">
        <v>1</v>
      </c>
      <c r="G55" t="s">
        <v>445</v>
      </c>
    </row>
    <row r="56" spans="1:7" x14ac:dyDescent="0.25">
      <c r="A56" s="84">
        <v>30</v>
      </c>
      <c r="B56" s="84" t="s">
        <v>615</v>
      </c>
      <c r="C56" s="84" t="s">
        <v>489</v>
      </c>
      <c r="D56" s="84">
        <v>15</v>
      </c>
      <c r="E56" s="84" t="s">
        <v>445</v>
      </c>
      <c r="F56" s="84" t="s">
        <v>1</v>
      </c>
      <c r="G56" s="84" t="s">
        <v>445</v>
      </c>
    </row>
    <row r="57" spans="1:7" x14ac:dyDescent="0.25">
      <c r="A57">
        <v>31</v>
      </c>
      <c r="B57" t="s">
        <v>616</v>
      </c>
      <c r="C57" t="s">
        <v>490</v>
      </c>
      <c r="D57">
        <v>15</v>
      </c>
      <c r="E57" t="s">
        <v>445</v>
      </c>
      <c r="F57" t="s">
        <v>1</v>
      </c>
      <c r="G57" t="s">
        <v>445</v>
      </c>
    </row>
    <row r="58" spans="1:7" x14ac:dyDescent="0.25">
      <c r="A58" s="84">
        <v>32</v>
      </c>
      <c r="B58" s="84" t="s">
        <v>617</v>
      </c>
      <c r="C58" s="84" t="s">
        <v>491</v>
      </c>
      <c r="D58" s="84">
        <v>15</v>
      </c>
      <c r="E58" s="84" t="s">
        <v>445</v>
      </c>
      <c r="F58" s="84" t="s">
        <v>1</v>
      </c>
      <c r="G58" s="84" t="s">
        <v>445</v>
      </c>
    </row>
    <row r="59" spans="1:7" x14ac:dyDescent="0.25">
      <c r="A59">
        <v>33</v>
      </c>
      <c r="B59" t="s">
        <v>618</v>
      </c>
      <c r="C59" t="s">
        <v>492</v>
      </c>
      <c r="D59">
        <v>15</v>
      </c>
      <c r="E59" t="s">
        <v>445</v>
      </c>
      <c r="F59" t="s">
        <v>1</v>
      </c>
      <c r="G59" t="s">
        <v>445</v>
      </c>
    </row>
    <row r="60" spans="1:7" x14ac:dyDescent="0.25">
      <c r="A60" s="84">
        <v>33</v>
      </c>
      <c r="B60" s="84" t="s">
        <v>618</v>
      </c>
      <c r="C60" s="84" t="s">
        <v>492</v>
      </c>
      <c r="D60" s="84">
        <v>5</v>
      </c>
      <c r="E60" s="84" t="s">
        <v>447</v>
      </c>
      <c r="F60" s="84" t="s">
        <v>1</v>
      </c>
      <c r="G60" s="84" t="s">
        <v>445</v>
      </c>
    </row>
    <row r="61" spans="1:7" x14ac:dyDescent="0.25">
      <c r="A61">
        <v>33</v>
      </c>
      <c r="B61" t="s">
        <v>618</v>
      </c>
      <c r="C61" t="s">
        <v>492</v>
      </c>
      <c r="D61">
        <v>11</v>
      </c>
      <c r="E61" t="s">
        <v>477</v>
      </c>
      <c r="F61" t="s">
        <v>698</v>
      </c>
      <c r="G61" t="s">
        <v>445</v>
      </c>
    </row>
    <row r="62" spans="1:7" x14ac:dyDescent="0.25">
      <c r="A62" s="84">
        <v>33</v>
      </c>
      <c r="B62" s="84" t="s">
        <v>618</v>
      </c>
      <c r="C62" s="84" t="s">
        <v>492</v>
      </c>
      <c r="D62" s="84">
        <v>32</v>
      </c>
      <c r="E62" s="84" t="s">
        <v>478</v>
      </c>
      <c r="F62" s="84" t="s">
        <v>698</v>
      </c>
      <c r="G62" s="84" t="s">
        <v>445</v>
      </c>
    </row>
    <row r="63" spans="1:7" x14ac:dyDescent="0.25">
      <c r="A63">
        <v>33</v>
      </c>
      <c r="B63" t="s">
        <v>618</v>
      </c>
      <c r="C63" t="s">
        <v>492</v>
      </c>
      <c r="D63">
        <v>34</v>
      </c>
      <c r="E63" t="s">
        <v>479</v>
      </c>
      <c r="F63" t="s">
        <v>698</v>
      </c>
      <c r="G63" t="s">
        <v>445</v>
      </c>
    </row>
    <row r="64" spans="1:7" x14ac:dyDescent="0.25">
      <c r="A64" s="84">
        <v>33</v>
      </c>
      <c r="B64" s="84" t="s">
        <v>618</v>
      </c>
      <c r="C64" s="84" t="s">
        <v>492</v>
      </c>
      <c r="D64" s="84">
        <v>44</v>
      </c>
      <c r="E64" s="84" t="s">
        <v>480</v>
      </c>
      <c r="F64" s="84" t="s">
        <v>698</v>
      </c>
      <c r="G64" s="84" t="s">
        <v>445</v>
      </c>
    </row>
    <row r="65" spans="1:7" x14ac:dyDescent="0.25">
      <c r="A65">
        <v>33</v>
      </c>
      <c r="B65" t="s">
        <v>618</v>
      </c>
      <c r="C65" t="s">
        <v>492</v>
      </c>
      <c r="D65">
        <v>31</v>
      </c>
      <c r="E65" t="s">
        <v>481</v>
      </c>
      <c r="F65" t="s">
        <v>698</v>
      </c>
      <c r="G65" t="s">
        <v>445</v>
      </c>
    </row>
    <row r="66" spans="1:7" x14ac:dyDescent="0.25">
      <c r="A66" s="84">
        <v>33</v>
      </c>
      <c r="B66" s="84" t="s">
        <v>618</v>
      </c>
      <c r="C66" s="84" t="s">
        <v>492</v>
      </c>
      <c r="D66" s="84">
        <v>43</v>
      </c>
      <c r="E66" s="84" t="s">
        <v>462</v>
      </c>
      <c r="F66" s="84" t="s">
        <v>1</v>
      </c>
      <c r="G66" s="84" t="s">
        <v>445</v>
      </c>
    </row>
    <row r="67" spans="1:7" x14ac:dyDescent="0.25">
      <c r="A67">
        <v>33</v>
      </c>
      <c r="B67" t="s">
        <v>618</v>
      </c>
      <c r="C67" t="s">
        <v>492</v>
      </c>
      <c r="D67">
        <v>14</v>
      </c>
      <c r="E67" t="s">
        <v>482</v>
      </c>
      <c r="F67" t="s">
        <v>700</v>
      </c>
      <c r="G67" t="s">
        <v>445</v>
      </c>
    </row>
    <row r="68" spans="1:7" x14ac:dyDescent="0.25">
      <c r="A68" s="84">
        <v>34</v>
      </c>
      <c r="B68" s="84" t="s">
        <v>619</v>
      </c>
      <c r="C68" s="84" t="s">
        <v>493</v>
      </c>
      <c r="D68" s="84">
        <v>15</v>
      </c>
      <c r="E68" s="84" t="s">
        <v>445</v>
      </c>
      <c r="F68" s="84" t="s">
        <v>1</v>
      </c>
      <c r="G68" s="84" t="s">
        <v>445</v>
      </c>
    </row>
    <row r="69" spans="1:7" x14ac:dyDescent="0.25">
      <c r="A69">
        <v>35</v>
      </c>
      <c r="B69" t="s">
        <v>620</v>
      </c>
      <c r="C69" t="s">
        <v>494</v>
      </c>
      <c r="D69">
        <v>15</v>
      </c>
      <c r="E69" t="s">
        <v>445</v>
      </c>
      <c r="F69" t="s">
        <v>1</v>
      </c>
      <c r="G69" t="s">
        <v>445</v>
      </c>
    </row>
    <row r="70" spans="1:7" x14ac:dyDescent="0.25">
      <c r="A70" s="84">
        <v>36</v>
      </c>
      <c r="B70" s="84" t="s">
        <v>621</v>
      </c>
      <c r="C70" s="84" t="s">
        <v>495</v>
      </c>
      <c r="D70" s="84">
        <v>15</v>
      </c>
      <c r="E70" s="84" t="s">
        <v>445</v>
      </c>
      <c r="F70" s="84" t="s">
        <v>1</v>
      </c>
      <c r="G70" s="84" t="s">
        <v>445</v>
      </c>
    </row>
    <row r="71" spans="1:7" x14ac:dyDescent="0.25">
      <c r="A71">
        <v>37</v>
      </c>
      <c r="B71" t="s">
        <v>622</v>
      </c>
      <c r="C71" t="s">
        <v>496</v>
      </c>
      <c r="D71">
        <v>15</v>
      </c>
      <c r="E71" t="s">
        <v>445</v>
      </c>
      <c r="F71" t="s">
        <v>1</v>
      </c>
      <c r="G71" t="s">
        <v>445</v>
      </c>
    </row>
    <row r="72" spans="1:7" x14ac:dyDescent="0.25">
      <c r="A72" s="84">
        <v>38</v>
      </c>
      <c r="B72" s="84" t="s">
        <v>623</v>
      </c>
      <c r="C72" s="84" t="s">
        <v>497</v>
      </c>
      <c r="D72" s="84">
        <v>15</v>
      </c>
      <c r="E72" s="84" t="s">
        <v>445</v>
      </c>
      <c r="F72" s="84" t="s">
        <v>1</v>
      </c>
      <c r="G72" s="84" t="s">
        <v>445</v>
      </c>
    </row>
    <row r="73" spans="1:7" x14ac:dyDescent="0.25">
      <c r="A73">
        <v>39</v>
      </c>
      <c r="B73" t="s">
        <v>624</v>
      </c>
      <c r="C73" t="s">
        <v>498</v>
      </c>
      <c r="D73">
        <v>15</v>
      </c>
      <c r="E73" t="s">
        <v>445</v>
      </c>
      <c r="F73" t="s">
        <v>1</v>
      </c>
      <c r="G73" t="s">
        <v>445</v>
      </c>
    </row>
    <row r="74" spans="1:7" x14ac:dyDescent="0.25">
      <c r="A74" s="84">
        <v>40</v>
      </c>
      <c r="B74" s="84" t="s">
        <v>625</v>
      </c>
      <c r="C74" s="84" t="s">
        <v>499</v>
      </c>
      <c r="D74" s="84">
        <v>15</v>
      </c>
      <c r="E74" s="84" t="s">
        <v>445</v>
      </c>
      <c r="F74" s="84" t="s">
        <v>1</v>
      </c>
      <c r="G74" s="84" t="s">
        <v>445</v>
      </c>
    </row>
    <row r="75" spans="1:7" x14ac:dyDescent="0.25">
      <c r="A75">
        <v>41</v>
      </c>
      <c r="B75" t="s">
        <v>626</v>
      </c>
      <c r="C75" t="s">
        <v>500</v>
      </c>
      <c r="D75">
        <v>15</v>
      </c>
      <c r="E75" t="s">
        <v>445</v>
      </c>
      <c r="F75" t="s">
        <v>1</v>
      </c>
      <c r="G75" t="s">
        <v>445</v>
      </c>
    </row>
    <row r="76" spans="1:7" x14ac:dyDescent="0.25">
      <c r="A76" s="84">
        <v>42</v>
      </c>
      <c r="B76" s="84" t="s">
        <v>628</v>
      </c>
      <c r="C76" s="84" t="s">
        <v>501</v>
      </c>
      <c r="D76" s="84">
        <v>15</v>
      </c>
      <c r="E76" s="84" t="s">
        <v>445</v>
      </c>
      <c r="F76" s="84" t="s">
        <v>1</v>
      </c>
      <c r="G76" s="84" t="s">
        <v>445</v>
      </c>
    </row>
    <row r="77" spans="1:7" x14ac:dyDescent="0.25">
      <c r="A77">
        <v>43</v>
      </c>
      <c r="B77" t="s">
        <v>629</v>
      </c>
      <c r="C77" t="s">
        <v>502</v>
      </c>
      <c r="D77">
        <v>15</v>
      </c>
      <c r="E77" t="s">
        <v>445</v>
      </c>
      <c r="F77" t="s">
        <v>1</v>
      </c>
      <c r="G77" t="s">
        <v>445</v>
      </c>
    </row>
    <row r="78" spans="1:7" x14ac:dyDescent="0.25">
      <c r="A78" s="84">
        <v>44</v>
      </c>
      <c r="B78" s="84" t="s">
        <v>630</v>
      </c>
      <c r="C78" s="84" t="s">
        <v>503</v>
      </c>
      <c r="D78" s="84">
        <v>15</v>
      </c>
      <c r="E78" s="84" t="s">
        <v>445</v>
      </c>
      <c r="F78" s="84" t="s">
        <v>1</v>
      </c>
      <c r="G78" s="84" t="s">
        <v>445</v>
      </c>
    </row>
    <row r="79" spans="1:7" x14ac:dyDescent="0.25">
      <c r="A79">
        <v>45</v>
      </c>
      <c r="B79" t="s">
        <v>631</v>
      </c>
      <c r="C79" t="s">
        <v>504</v>
      </c>
      <c r="D79">
        <v>15</v>
      </c>
      <c r="E79" t="s">
        <v>445</v>
      </c>
      <c r="F79" t="s">
        <v>1</v>
      </c>
      <c r="G79" t="s">
        <v>445</v>
      </c>
    </row>
    <row r="80" spans="1:7" x14ac:dyDescent="0.25">
      <c r="A80" s="84">
        <v>45</v>
      </c>
      <c r="B80" s="84" t="s">
        <v>631</v>
      </c>
      <c r="C80" s="84" t="s">
        <v>504</v>
      </c>
      <c r="D80" s="84">
        <v>11</v>
      </c>
      <c r="E80" s="84" t="s">
        <v>477</v>
      </c>
      <c r="F80" s="84" t="s">
        <v>698</v>
      </c>
      <c r="G80" s="84" t="s">
        <v>445</v>
      </c>
    </row>
    <row r="81" spans="1:7" x14ac:dyDescent="0.25">
      <c r="A81">
        <v>45</v>
      </c>
      <c r="B81" t="s">
        <v>631</v>
      </c>
      <c r="C81" t="s">
        <v>504</v>
      </c>
      <c r="D81">
        <v>32</v>
      </c>
      <c r="E81" t="s">
        <v>478</v>
      </c>
      <c r="F81" t="s">
        <v>698</v>
      </c>
      <c r="G81" t="s">
        <v>445</v>
      </c>
    </row>
    <row r="82" spans="1:7" x14ac:dyDescent="0.25">
      <c r="A82" s="84">
        <v>45</v>
      </c>
      <c r="B82" s="84" t="s">
        <v>631</v>
      </c>
      <c r="C82" s="84" t="s">
        <v>504</v>
      </c>
      <c r="D82" s="84">
        <v>34</v>
      </c>
      <c r="E82" s="84" t="s">
        <v>479</v>
      </c>
      <c r="F82" s="84" t="s">
        <v>698</v>
      </c>
      <c r="G82" s="84" t="s">
        <v>445</v>
      </c>
    </row>
    <row r="83" spans="1:7" x14ac:dyDescent="0.25">
      <c r="A83">
        <v>45</v>
      </c>
      <c r="B83" t="s">
        <v>631</v>
      </c>
      <c r="C83" t="s">
        <v>504</v>
      </c>
      <c r="D83">
        <v>45</v>
      </c>
      <c r="E83" t="s">
        <v>505</v>
      </c>
      <c r="F83" t="s">
        <v>1</v>
      </c>
      <c r="G83" t="s">
        <v>445</v>
      </c>
    </row>
    <row r="84" spans="1:7" x14ac:dyDescent="0.25">
      <c r="A84" s="84">
        <v>45</v>
      </c>
      <c r="B84" s="84" t="s">
        <v>631</v>
      </c>
      <c r="C84" s="84" t="s">
        <v>504</v>
      </c>
      <c r="D84" s="84">
        <v>44</v>
      </c>
      <c r="E84" s="84" t="s">
        <v>480</v>
      </c>
      <c r="F84" s="84" t="s">
        <v>698</v>
      </c>
      <c r="G84" s="84" t="s">
        <v>445</v>
      </c>
    </row>
    <row r="85" spans="1:7" x14ac:dyDescent="0.25">
      <c r="A85">
        <v>45</v>
      </c>
      <c r="B85" t="s">
        <v>631</v>
      </c>
      <c r="C85" t="s">
        <v>504</v>
      </c>
      <c r="D85">
        <v>31</v>
      </c>
      <c r="E85" t="s">
        <v>481</v>
      </c>
      <c r="F85" t="s">
        <v>698</v>
      </c>
      <c r="G85" t="s">
        <v>445</v>
      </c>
    </row>
    <row r="86" spans="1:7" x14ac:dyDescent="0.25">
      <c r="A86" s="84">
        <v>45</v>
      </c>
      <c r="B86" s="84" t="s">
        <v>631</v>
      </c>
      <c r="C86" s="84" t="s">
        <v>504</v>
      </c>
      <c r="D86" s="84">
        <v>43</v>
      </c>
      <c r="E86" s="84" t="s">
        <v>462</v>
      </c>
      <c r="F86" s="84" t="s">
        <v>1</v>
      </c>
      <c r="G86" s="84" t="s">
        <v>445</v>
      </c>
    </row>
    <row r="87" spans="1:7" x14ac:dyDescent="0.25">
      <c r="A87">
        <v>45</v>
      </c>
      <c r="B87" t="s">
        <v>631</v>
      </c>
      <c r="C87" t="s">
        <v>504</v>
      </c>
      <c r="D87">
        <v>14</v>
      </c>
      <c r="E87" t="s">
        <v>482</v>
      </c>
      <c r="F87" t="s">
        <v>700</v>
      </c>
      <c r="G87" t="s">
        <v>445</v>
      </c>
    </row>
    <row r="88" spans="1:7" x14ac:dyDescent="0.25">
      <c r="A88" s="84">
        <v>46</v>
      </c>
      <c r="B88" s="84" t="s">
        <v>632</v>
      </c>
      <c r="C88" s="84" t="s">
        <v>506</v>
      </c>
      <c r="D88" s="84">
        <v>15</v>
      </c>
      <c r="E88" s="84" t="s">
        <v>445</v>
      </c>
      <c r="F88" s="84" t="s">
        <v>1</v>
      </c>
      <c r="G88" s="84" t="s">
        <v>445</v>
      </c>
    </row>
    <row r="89" spans="1:7" x14ac:dyDescent="0.25">
      <c r="A89">
        <v>47</v>
      </c>
      <c r="B89" t="s">
        <v>633</v>
      </c>
      <c r="C89" t="s">
        <v>507</v>
      </c>
      <c r="D89">
        <v>15</v>
      </c>
      <c r="E89" t="s">
        <v>445</v>
      </c>
      <c r="F89" t="s">
        <v>1</v>
      </c>
      <c r="G89" t="s">
        <v>445</v>
      </c>
    </row>
    <row r="90" spans="1:7" x14ac:dyDescent="0.25">
      <c r="A90" s="84">
        <v>48</v>
      </c>
      <c r="B90" s="84" t="s">
        <v>634</v>
      </c>
      <c r="C90" s="84" t="s">
        <v>508</v>
      </c>
      <c r="D90" s="84">
        <v>15</v>
      </c>
      <c r="E90" s="84" t="s">
        <v>445</v>
      </c>
      <c r="F90" s="84" t="s">
        <v>1</v>
      </c>
      <c r="G90" s="84" t="s">
        <v>445</v>
      </c>
    </row>
    <row r="91" spans="1:7" x14ac:dyDescent="0.25">
      <c r="A91">
        <v>49</v>
      </c>
      <c r="B91" t="s">
        <v>635</v>
      </c>
      <c r="C91" t="s">
        <v>509</v>
      </c>
      <c r="D91">
        <v>15</v>
      </c>
      <c r="E91" t="s">
        <v>445</v>
      </c>
      <c r="F91" t="s">
        <v>1</v>
      </c>
      <c r="G91" t="s">
        <v>445</v>
      </c>
    </row>
    <row r="92" spans="1:7" x14ac:dyDescent="0.25">
      <c r="A92" s="84">
        <v>50</v>
      </c>
      <c r="B92" s="84" t="s">
        <v>636</v>
      </c>
      <c r="C92" s="84" t="s">
        <v>510</v>
      </c>
      <c r="D92" s="84">
        <v>15</v>
      </c>
      <c r="E92" s="84" t="s">
        <v>445</v>
      </c>
      <c r="F92" s="84" t="s">
        <v>1</v>
      </c>
      <c r="G92" s="84" t="s">
        <v>445</v>
      </c>
    </row>
    <row r="93" spans="1:7" x14ac:dyDescent="0.25">
      <c r="A93">
        <v>51</v>
      </c>
      <c r="B93" t="s">
        <v>637</v>
      </c>
      <c r="C93" t="s">
        <v>511</v>
      </c>
      <c r="D93">
        <v>15</v>
      </c>
      <c r="E93" t="s">
        <v>445</v>
      </c>
      <c r="F93" t="s">
        <v>1</v>
      </c>
      <c r="G93" t="s">
        <v>445</v>
      </c>
    </row>
    <row r="94" spans="1:7" x14ac:dyDescent="0.25">
      <c r="A94" s="84">
        <v>51</v>
      </c>
      <c r="B94" s="84" t="s">
        <v>637</v>
      </c>
      <c r="C94" s="84" t="s">
        <v>511</v>
      </c>
      <c r="D94" s="84">
        <v>9</v>
      </c>
      <c r="E94" s="84" t="s">
        <v>449</v>
      </c>
      <c r="F94" s="84" t="s">
        <v>1</v>
      </c>
      <c r="G94" s="84" t="s">
        <v>445</v>
      </c>
    </row>
    <row r="95" spans="1:7" x14ac:dyDescent="0.25">
      <c r="A95">
        <v>51</v>
      </c>
      <c r="B95" t="s">
        <v>637</v>
      </c>
      <c r="C95" t="s">
        <v>511</v>
      </c>
      <c r="D95">
        <v>3</v>
      </c>
      <c r="E95" t="s">
        <v>466</v>
      </c>
      <c r="F95" t="s">
        <v>1</v>
      </c>
      <c r="G95" t="s">
        <v>445</v>
      </c>
    </row>
    <row r="96" spans="1:7" x14ac:dyDescent="0.25">
      <c r="A96" s="84">
        <v>51</v>
      </c>
      <c r="B96" s="84" t="s">
        <v>637</v>
      </c>
      <c r="C96" s="84" t="s">
        <v>511</v>
      </c>
      <c r="D96" s="84">
        <v>20</v>
      </c>
      <c r="E96" s="84" t="s">
        <v>467</v>
      </c>
      <c r="F96" s="84" t="s">
        <v>700</v>
      </c>
      <c r="G96" s="84" t="s">
        <v>445</v>
      </c>
    </row>
    <row r="97" spans="1:7" x14ac:dyDescent="0.25">
      <c r="A97">
        <v>51</v>
      </c>
      <c r="B97" t="s">
        <v>637</v>
      </c>
      <c r="C97" t="s">
        <v>511</v>
      </c>
      <c r="D97">
        <v>39</v>
      </c>
      <c r="E97" t="s">
        <v>468</v>
      </c>
      <c r="F97" t="s">
        <v>1</v>
      </c>
      <c r="G97" t="s">
        <v>445</v>
      </c>
    </row>
    <row r="98" spans="1:7" x14ac:dyDescent="0.25">
      <c r="A98" s="84">
        <v>51</v>
      </c>
      <c r="B98" s="84" t="s">
        <v>637</v>
      </c>
      <c r="C98" s="84" t="s">
        <v>511</v>
      </c>
      <c r="D98" s="84">
        <v>42</v>
      </c>
      <c r="E98" s="84" t="s">
        <v>469</v>
      </c>
      <c r="F98" s="84" t="s">
        <v>1</v>
      </c>
      <c r="G98" s="84" t="s">
        <v>445</v>
      </c>
    </row>
    <row r="99" spans="1:7" x14ac:dyDescent="0.25">
      <c r="A99">
        <v>51</v>
      </c>
      <c r="B99" t="s">
        <v>637</v>
      </c>
      <c r="C99" t="s">
        <v>511</v>
      </c>
      <c r="D99">
        <v>46</v>
      </c>
      <c r="E99" t="s">
        <v>470</v>
      </c>
      <c r="F99" t="s">
        <v>1</v>
      </c>
      <c r="G99" t="s">
        <v>445</v>
      </c>
    </row>
    <row r="100" spans="1:7" x14ac:dyDescent="0.25">
      <c r="A100" s="84">
        <v>51</v>
      </c>
      <c r="B100" s="84" t="s">
        <v>637</v>
      </c>
      <c r="C100" s="84" t="s">
        <v>511</v>
      </c>
      <c r="D100" s="84">
        <v>5</v>
      </c>
      <c r="E100" s="84" t="s">
        <v>447</v>
      </c>
      <c r="F100" s="84" t="s">
        <v>1</v>
      </c>
      <c r="G100" s="84" t="s">
        <v>445</v>
      </c>
    </row>
    <row r="101" spans="1:7" x14ac:dyDescent="0.25">
      <c r="A101">
        <v>52</v>
      </c>
      <c r="B101" t="s">
        <v>639</v>
      </c>
      <c r="C101" t="s">
        <v>512</v>
      </c>
      <c r="D101">
        <v>15</v>
      </c>
      <c r="E101" t="s">
        <v>445</v>
      </c>
      <c r="F101" t="s">
        <v>1</v>
      </c>
      <c r="G101" t="s">
        <v>445</v>
      </c>
    </row>
    <row r="102" spans="1:7" x14ac:dyDescent="0.25">
      <c r="A102" s="84">
        <v>53</v>
      </c>
      <c r="B102" s="84" t="s">
        <v>640</v>
      </c>
      <c r="C102" s="84" t="s">
        <v>513</v>
      </c>
      <c r="D102" s="84">
        <v>15</v>
      </c>
      <c r="E102" s="84" t="s">
        <v>445</v>
      </c>
      <c r="F102" s="84" t="s">
        <v>1</v>
      </c>
      <c r="G102" s="84" t="s">
        <v>445</v>
      </c>
    </row>
    <row r="103" spans="1:7" x14ac:dyDescent="0.25">
      <c r="A103">
        <v>54</v>
      </c>
      <c r="B103" t="s">
        <v>641</v>
      </c>
      <c r="C103" t="s">
        <v>514</v>
      </c>
      <c r="D103">
        <v>15</v>
      </c>
      <c r="E103" t="s">
        <v>445</v>
      </c>
      <c r="F103" t="s">
        <v>1</v>
      </c>
      <c r="G103" t="s">
        <v>445</v>
      </c>
    </row>
    <row r="104" spans="1:7" x14ac:dyDescent="0.25">
      <c r="A104" s="84">
        <v>55</v>
      </c>
      <c r="B104" s="84" t="s">
        <v>642</v>
      </c>
      <c r="C104" s="84" t="s">
        <v>515</v>
      </c>
      <c r="D104" s="84">
        <v>10</v>
      </c>
      <c r="E104" s="84" t="s">
        <v>516</v>
      </c>
      <c r="F104" s="84" t="s">
        <v>698</v>
      </c>
      <c r="G104" s="84" t="s">
        <v>445</v>
      </c>
    </row>
    <row r="105" spans="1:7" x14ac:dyDescent="0.25">
      <c r="A105">
        <v>55</v>
      </c>
      <c r="B105" t="s">
        <v>642</v>
      </c>
      <c r="C105" t="s">
        <v>515</v>
      </c>
      <c r="D105">
        <v>15</v>
      </c>
      <c r="E105" t="s">
        <v>445</v>
      </c>
      <c r="F105" t="s">
        <v>1</v>
      </c>
      <c r="G105" t="s">
        <v>445</v>
      </c>
    </row>
    <row r="106" spans="1:7" x14ac:dyDescent="0.25">
      <c r="A106" s="84">
        <v>56</v>
      </c>
      <c r="B106" s="84" t="s">
        <v>643</v>
      </c>
      <c r="C106" s="84" t="s">
        <v>517</v>
      </c>
      <c r="D106" s="84">
        <v>15</v>
      </c>
      <c r="E106" s="84" t="s">
        <v>445</v>
      </c>
      <c r="F106" s="84" t="s">
        <v>1</v>
      </c>
      <c r="G106" s="84" t="s">
        <v>445</v>
      </c>
    </row>
    <row r="107" spans="1:7" x14ac:dyDescent="0.25">
      <c r="A107">
        <v>57</v>
      </c>
      <c r="B107" t="s">
        <v>644</v>
      </c>
      <c r="C107" t="s">
        <v>518</v>
      </c>
      <c r="D107">
        <v>15</v>
      </c>
      <c r="E107" t="s">
        <v>445</v>
      </c>
      <c r="F107" t="s">
        <v>1</v>
      </c>
      <c r="G107" t="s">
        <v>445</v>
      </c>
    </row>
    <row r="108" spans="1:7" x14ac:dyDescent="0.25">
      <c r="A108" s="84">
        <v>57</v>
      </c>
      <c r="B108" s="84" t="s">
        <v>644</v>
      </c>
      <c r="C108" s="84" t="s">
        <v>518</v>
      </c>
      <c r="D108" s="84">
        <v>26</v>
      </c>
      <c r="E108" s="84" t="s">
        <v>519</v>
      </c>
      <c r="F108" s="84" t="s">
        <v>698</v>
      </c>
      <c r="G108" s="84" t="s">
        <v>445</v>
      </c>
    </row>
    <row r="109" spans="1:7" x14ac:dyDescent="0.25">
      <c r="A109">
        <v>57</v>
      </c>
      <c r="B109" t="s">
        <v>644</v>
      </c>
      <c r="C109" t="s">
        <v>518</v>
      </c>
      <c r="D109">
        <v>38</v>
      </c>
      <c r="E109" t="s">
        <v>520</v>
      </c>
      <c r="F109" t="s">
        <v>698</v>
      </c>
      <c r="G109" t="s">
        <v>445</v>
      </c>
    </row>
    <row r="110" spans="1:7" x14ac:dyDescent="0.25">
      <c r="A110" s="84">
        <v>57</v>
      </c>
      <c r="B110" s="84" t="s">
        <v>644</v>
      </c>
      <c r="C110" s="84" t="s">
        <v>518</v>
      </c>
      <c r="D110" s="84">
        <v>28</v>
      </c>
      <c r="E110" s="84" t="s">
        <v>521</v>
      </c>
      <c r="F110" s="84" t="s">
        <v>698</v>
      </c>
      <c r="G110" s="84" t="s">
        <v>445</v>
      </c>
    </row>
    <row r="111" spans="1:7" x14ac:dyDescent="0.25">
      <c r="A111">
        <v>58</v>
      </c>
      <c r="B111" t="s">
        <v>645</v>
      </c>
      <c r="C111" t="s">
        <v>522</v>
      </c>
      <c r="D111">
        <v>15</v>
      </c>
      <c r="E111" t="s">
        <v>445</v>
      </c>
      <c r="F111" t="s">
        <v>1</v>
      </c>
      <c r="G111" t="s">
        <v>445</v>
      </c>
    </row>
    <row r="112" spans="1:7" x14ac:dyDescent="0.25">
      <c r="A112" s="84">
        <v>58</v>
      </c>
      <c r="B112" s="84" t="s">
        <v>645</v>
      </c>
      <c r="C112" s="84" t="s">
        <v>522</v>
      </c>
      <c r="D112" s="84">
        <v>26</v>
      </c>
      <c r="E112" s="84" t="s">
        <v>519</v>
      </c>
      <c r="F112" s="84" t="s">
        <v>698</v>
      </c>
      <c r="G112" s="84" t="s">
        <v>445</v>
      </c>
    </row>
    <row r="113" spans="1:7" x14ac:dyDescent="0.25">
      <c r="A113">
        <v>58</v>
      </c>
      <c r="B113" t="s">
        <v>645</v>
      </c>
      <c r="C113" t="s">
        <v>522</v>
      </c>
      <c r="D113">
        <v>38</v>
      </c>
      <c r="E113" t="s">
        <v>520</v>
      </c>
      <c r="F113" t="s">
        <v>698</v>
      </c>
      <c r="G113" t="s">
        <v>445</v>
      </c>
    </row>
    <row r="114" spans="1:7" x14ac:dyDescent="0.25">
      <c r="A114" s="84">
        <v>58</v>
      </c>
      <c r="B114" s="84" t="s">
        <v>645</v>
      </c>
      <c r="C114" s="84" t="s">
        <v>522</v>
      </c>
      <c r="D114" s="84">
        <v>28</v>
      </c>
      <c r="E114" s="84" t="s">
        <v>521</v>
      </c>
      <c r="F114" s="84" t="s">
        <v>698</v>
      </c>
      <c r="G114" s="84" t="s">
        <v>445</v>
      </c>
    </row>
    <row r="115" spans="1:7" x14ac:dyDescent="0.25">
      <c r="A115">
        <v>59</v>
      </c>
      <c r="B115" t="s">
        <v>646</v>
      </c>
      <c r="C115" t="s">
        <v>523</v>
      </c>
      <c r="D115">
        <v>15</v>
      </c>
      <c r="E115" t="s">
        <v>445</v>
      </c>
      <c r="F115" t="s">
        <v>1</v>
      </c>
      <c r="G115" t="s">
        <v>445</v>
      </c>
    </row>
    <row r="116" spans="1:7" x14ac:dyDescent="0.25">
      <c r="A116" s="84">
        <v>59</v>
      </c>
      <c r="B116" s="84" t="s">
        <v>646</v>
      </c>
      <c r="C116" s="84" t="s">
        <v>523</v>
      </c>
      <c r="D116" s="84">
        <v>26</v>
      </c>
      <c r="E116" s="84" t="s">
        <v>519</v>
      </c>
      <c r="F116" s="84" t="s">
        <v>698</v>
      </c>
      <c r="G116" s="84" t="s">
        <v>445</v>
      </c>
    </row>
    <row r="117" spans="1:7" x14ac:dyDescent="0.25">
      <c r="A117">
        <v>59</v>
      </c>
      <c r="B117" t="s">
        <v>646</v>
      </c>
      <c r="C117" t="s">
        <v>523</v>
      </c>
      <c r="D117">
        <v>38</v>
      </c>
      <c r="E117" t="s">
        <v>520</v>
      </c>
      <c r="F117" t="s">
        <v>698</v>
      </c>
      <c r="G117" t="s">
        <v>445</v>
      </c>
    </row>
    <row r="118" spans="1:7" x14ac:dyDescent="0.25">
      <c r="A118" s="84">
        <v>59</v>
      </c>
      <c r="B118" s="84" t="s">
        <v>646</v>
      </c>
      <c r="C118" s="84" t="s">
        <v>523</v>
      </c>
      <c r="D118" s="84">
        <v>28</v>
      </c>
      <c r="E118" s="84" t="s">
        <v>521</v>
      </c>
      <c r="F118" s="84" t="s">
        <v>698</v>
      </c>
      <c r="G118" s="84" t="s">
        <v>445</v>
      </c>
    </row>
    <row r="119" spans="1:7" x14ac:dyDescent="0.25">
      <c r="A119">
        <v>60</v>
      </c>
      <c r="B119" t="s">
        <v>647</v>
      </c>
      <c r="C119" t="s">
        <v>524</v>
      </c>
      <c r="D119">
        <v>6</v>
      </c>
      <c r="E119" t="s">
        <v>525</v>
      </c>
      <c r="F119" t="s">
        <v>698</v>
      </c>
      <c r="G119" t="s">
        <v>445</v>
      </c>
    </row>
    <row r="120" spans="1:7" x14ac:dyDescent="0.25">
      <c r="A120" s="84">
        <v>60</v>
      </c>
      <c r="B120" s="84" t="s">
        <v>647</v>
      </c>
      <c r="C120" s="84" t="s">
        <v>524</v>
      </c>
      <c r="D120" s="84">
        <v>17</v>
      </c>
      <c r="E120" s="84" t="s">
        <v>526</v>
      </c>
      <c r="F120" s="84" t="s">
        <v>698</v>
      </c>
      <c r="G120" s="84" t="s">
        <v>445</v>
      </c>
    </row>
    <row r="121" spans="1:7" x14ac:dyDescent="0.25">
      <c r="A121">
        <v>60</v>
      </c>
      <c r="B121" t="s">
        <v>647</v>
      </c>
      <c r="C121" t="s">
        <v>524</v>
      </c>
      <c r="D121">
        <v>13</v>
      </c>
      <c r="E121" t="s">
        <v>527</v>
      </c>
      <c r="F121" t="s">
        <v>1</v>
      </c>
      <c r="G121" t="s">
        <v>445</v>
      </c>
    </row>
    <row r="122" spans="1:7" x14ac:dyDescent="0.25">
      <c r="A122" s="84">
        <v>61</v>
      </c>
      <c r="B122" s="84" t="s">
        <v>649</v>
      </c>
      <c r="C122" s="84" t="s">
        <v>528</v>
      </c>
      <c r="D122" s="84">
        <v>6</v>
      </c>
      <c r="E122" s="84" t="s">
        <v>525</v>
      </c>
      <c r="F122" s="84" t="s">
        <v>698</v>
      </c>
      <c r="G122" s="84" t="s">
        <v>445</v>
      </c>
    </row>
    <row r="123" spans="1:7" x14ac:dyDescent="0.25">
      <c r="A123">
        <v>61</v>
      </c>
      <c r="B123" t="s">
        <v>649</v>
      </c>
      <c r="C123" t="s">
        <v>528</v>
      </c>
      <c r="D123">
        <v>17</v>
      </c>
      <c r="E123" t="s">
        <v>526</v>
      </c>
      <c r="F123" t="s">
        <v>698</v>
      </c>
      <c r="G123" t="s">
        <v>445</v>
      </c>
    </row>
    <row r="124" spans="1:7" x14ac:dyDescent="0.25">
      <c r="A124" s="84">
        <v>61</v>
      </c>
      <c r="B124" s="84" t="s">
        <v>649</v>
      </c>
      <c r="C124" s="84" t="s">
        <v>528</v>
      </c>
      <c r="D124" s="84">
        <v>13</v>
      </c>
      <c r="E124" s="84" t="s">
        <v>527</v>
      </c>
      <c r="F124" s="84" t="s">
        <v>1</v>
      </c>
      <c r="G124" s="84" t="s">
        <v>445</v>
      </c>
    </row>
    <row r="125" spans="1:7" x14ac:dyDescent="0.25">
      <c r="A125">
        <v>62</v>
      </c>
      <c r="B125" t="s">
        <v>650</v>
      </c>
      <c r="C125" t="s">
        <v>529</v>
      </c>
      <c r="D125">
        <v>33</v>
      </c>
      <c r="E125" t="s">
        <v>530</v>
      </c>
      <c r="F125" t="s">
        <v>698</v>
      </c>
      <c r="G125" t="s">
        <v>445</v>
      </c>
    </row>
    <row r="126" spans="1:7" x14ac:dyDescent="0.25">
      <c r="A126" s="84">
        <v>62</v>
      </c>
      <c r="B126" s="84" t="s">
        <v>650</v>
      </c>
      <c r="C126" s="84" t="s">
        <v>529</v>
      </c>
      <c r="D126" s="84">
        <v>12</v>
      </c>
      <c r="E126" s="84" t="s">
        <v>531</v>
      </c>
      <c r="F126" s="84" t="s">
        <v>698</v>
      </c>
      <c r="G126" s="84" t="s">
        <v>445</v>
      </c>
    </row>
    <row r="127" spans="1:7" x14ac:dyDescent="0.25">
      <c r="A127">
        <v>62</v>
      </c>
      <c r="B127" t="s">
        <v>650</v>
      </c>
      <c r="C127" t="s">
        <v>529</v>
      </c>
      <c r="D127">
        <v>36</v>
      </c>
      <c r="E127" t="s">
        <v>532</v>
      </c>
      <c r="F127" t="s">
        <v>698</v>
      </c>
      <c r="G127" t="s">
        <v>445</v>
      </c>
    </row>
    <row r="128" spans="1:7" x14ac:dyDescent="0.25">
      <c r="A128" s="84">
        <v>62</v>
      </c>
      <c r="B128" s="84" t="s">
        <v>650</v>
      </c>
      <c r="C128" s="84" t="s">
        <v>529</v>
      </c>
      <c r="D128" s="84">
        <v>30</v>
      </c>
      <c r="E128" s="84" t="s">
        <v>533</v>
      </c>
      <c r="F128" s="84" t="s">
        <v>698</v>
      </c>
      <c r="G128" s="84" t="s">
        <v>445</v>
      </c>
    </row>
    <row r="129" spans="1:7" x14ac:dyDescent="0.25">
      <c r="A129">
        <v>62</v>
      </c>
      <c r="B129" t="s">
        <v>650</v>
      </c>
      <c r="C129" t="s">
        <v>529</v>
      </c>
      <c r="D129">
        <v>2</v>
      </c>
      <c r="E129" t="s">
        <v>534</v>
      </c>
      <c r="F129" t="s">
        <v>698</v>
      </c>
      <c r="G129" t="s">
        <v>445</v>
      </c>
    </row>
    <row r="130" spans="1:7" x14ac:dyDescent="0.25">
      <c r="A130" s="84">
        <v>63</v>
      </c>
      <c r="B130" s="84" t="s">
        <v>652</v>
      </c>
      <c r="C130" s="84" t="s">
        <v>535</v>
      </c>
      <c r="D130" s="84">
        <v>5</v>
      </c>
      <c r="E130" s="84" t="s">
        <v>447</v>
      </c>
      <c r="F130" s="84" t="s">
        <v>1</v>
      </c>
      <c r="G130" s="84" t="s">
        <v>447</v>
      </c>
    </row>
    <row r="131" spans="1:7" x14ac:dyDescent="0.25">
      <c r="A131">
        <v>64</v>
      </c>
      <c r="B131" t="s">
        <v>653</v>
      </c>
      <c r="C131" t="s">
        <v>536</v>
      </c>
      <c r="D131">
        <v>5</v>
      </c>
      <c r="E131" t="s">
        <v>447</v>
      </c>
      <c r="F131" t="s">
        <v>1</v>
      </c>
      <c r="G131" t="s">
        <v>447</v>
      </c>
    </row>
    <row r="132" spans="1:7" x14ac:dyDescent="0.25">
      <c r="A132" s="84">
        <v>65</v>
      </c>
      <c r="B132" s="84" t="s">
        <v>654</v>
      </c>
      <c r="C132" s="84" t="s">
        <v>537</v>
      </c>
      <c r="D132" s="84">
        <v>5</v>
      </c>
      <c r="E132" s="84" t="s">
        <v>447</v>
      </c>
      <c r="F132" s="84" t="s">
        <v>1</v>
      </c>
      <c r="G132" s="84" t="s">
        <v>447</v>
      </c>
    </row>
    <row r="133" spans="1:7" x14ac:dyDescent="0.25">
      <c r="A133">
        <v>66</v>
      </c>
      <c r="B133" t="s">
        <v>655</v>
      </c>
      <c r="C133" t="s">
        <v>538</v>
      </c>
      <c r="D133">
        <v>5</v>
      </c>
      <c r="E133" t="s">
        <v>447</v>
      </c>
      <c r="F133" t="s">
        <v>1</v>
      </c>
      <c r="G133" t="s">
        <v>447</v>
      </c>
    </row>
    <row r="134" spans="1:7" x14ac:dyDescent="0.25">
      <c r="A134" s="84">
        <v>67</v>
      </c>
      <c r="B134" s="84" t="s">
        <v>656</v>
      </c>
      <c r="C134" s="84" t="s">
        <v>539</v>
      </c>
      <c r="D134" s="84">
        <v>5</v>
      </c>
      <c r="E134" s="84" t="s">
        <v>447</v>
      </c>
      <c r="F134" s="84" t="s">
        <v>1</v>
      </c>
      <c r="G134" s="84" t="s">
        <v>447</v>
      </c>
    </row>
    <row r="135" spans="1:7" x14ac:dyDescent="0.25">
      <c r="A135">
        <v>68</v>
      </c>
      <c r="B135" t="s">
        <v>657</v>
      </c>
      <c r="C135" t="s">
        <v>535</v>
      </c>
      <c r="D135">
        <v>9</v>
      </c>
      <c r="E135" t="s">
        <v>449</v>
      </c>
      <c r="F135" t="s">
        <v>1</v>
      </c>
      <c r="G135" t="s">
        <v>449</v>
      </c>
    </row>
    <row r="136" spans="1:7" x14ac:dyDescent="0.25">
      <c r="A136" s="84">
        <v>69</v>
      </c>
      <c r="B136" s="84" t="s">
        <v>658</v>
      </c>
      <c r="C136" s="84" t="s">
        <v>537</v>
      </c>
      <c r="D136" s="84">
        <v>9</v>
      </c>
      <c r="E136" s="84" t="s">
        <v>449</v>
      </c>
      <c r="F136" s="84" t="s">
        <v>1</v>
      </c>
      <c r="G136" s="84" t="s">
        <v>449</v>
      </c>
    </row>
    <row r="137" spans="1:7" x14ac:dyDescent="0.25">
      <c r="A137">
        <v>70</v>
      </c>
      <c r="B137" t="s">
        <v>659</v>
      </c>
      <c r="C137" t="s">
        <v>538</v>
      </c>
      <c r="D137">
        <v>9</v>
      </c>
      <c r="E137" t="s">
        <v>449</v>
      </c>
      <c r="F137" t="s">
        <v>1</v>
      </c>
      <c r="G137" t="s">
        <v>449</v>
      </c>
    </row>
    <row r="138" spans="1:7" x14ac:dyDescent="0.25">
      <c r="A138" s="84">
        <v>71</v>
      </c>
      <c r="B138" s="84" t="s">
        <v>660</v>
      </c>
      <c r="C138" s="84" t="s">
        <v>539</v>
      </c>
      <c r="D138" s="84">
        <v>9</v>
      </c>
      <c r="E138" s="84" t="s">
        <v>449</v>
      </c>
      <c r="F138" s="84" t="s">
        <v>1</v>
      </c>
      <c r="G138" s="84" t="s">
        <v>449</v>
      </c>
    </row>
    <row r="139" spans="1:7" x14ac:dyDescent="0.25">
      <c r="A139">
        <v>71</v>
      </c>
      <c r="B139" t="s">
        <v>660</v>
      </c>
      <c r="C139" t="s">
        <v>539</v>
      </c>
      <c r="D139">
        <v>18</v>
      </c>
      <c r="E139" t="s">
        <v>540</v>
      </c>
      <c r="F139" t="s">
        <v>698</v>
      </c>
      <c r="G139" t="s">
        <v>449</v>
      </c>
    </row>
    <row r="140" spans="1:7" x14ac:dyDescent="0.25">
      <c r="A140" s="84">
        <v>71</v>
      </c>
      <c r="B140" s="84" t="s">
        <v>660</v>
      </c>
      <c r="C140" s="84" t="s">
        <v>539</v>
      </c>
      <c r="D140" s="84">
        <v>29</v>
      </c>
      <c r="E140" s="84" t="s">
        <v>541</v>
      </c>
      <c r="F140" s="84" t="s">
        <v>698</v>
      </c>
      <c r="G140" s="84" t="s">
        <v>449</v>
      </c>
    </row>
    <row r="141" spans="1:7" x14ac:dyDescent="0.25">
      <c r="A141">
        <v>71</v>
      </c>
      <c r="B141" t="s">
        <v>660</v>
      </c>
      <c r="C141" t="s">
        <v>539</v>
      </c>
      <c r="D141">
        <v>37</v>
      </c>
      <c r="E141" t="s">
        <v>542</v>
      </c>
      <c r="F141" t="s">
        <v>698</v>
      </c>
      <c r="G141" t="s">
        <v>449</v>
      </c>
    </row>
    <row r="142" spans="1:7" x14ac:dyDescent="0.25">
      <c r="A142" s="84">
        <v>72</v>
      </c>
      <c r="B142" s="84" t="s">
        <v>661</v>
      </c>
      <c r="C142" s="84" t="s">
        <v>535</v>
      </c>
      <c r="D142" s="84">
        <v>19</v>
      </c>
      <c r="E142" s="84" t="s">
        <v>543</v>
      </c>
      <c r="F142" s="84" t="s">
        <v>1</v>
      </c>
      <c r="G142" s="84" t="s">
        <v>543</v>
      </c>
    </row>
    <row r="143" spans="1:7" x14ac:dyDescent="0.25">
      <c r="A143">
        <v>78</v>
      </c>
      <c r="B143" t="s">
        <v>670</v>
      </c>
      <c r="C143" t="s">
        <v>518</v>
      </c>
      <c r="D143">
        <v>19</v>
      </c>
      <c r="E143" t="s">
        <v>543</v>
      </c>
      <c r="F143" t="s">
        <v>1</v>
      </c>
      <c r="G143" t="s">
        <v>543</v>
      </c>
    </row>
    <row r="144" spans="1:7" x14ac:dyDescent="0.25">
      <c r="A144" s="84">
        <v>79</v>
      </c>
      <c r="B144" s="84" t="s">
        <v>671</v>
      </c>
      <c r="C144" s="84" t="s">
        <v>537</v>
      </c>
      <c r="D144" s="84">
        <v>20</v>
      </c>
      <c r="E144" s="84" t="s">
        <v>467</v>
      </c>
      <c r="F144" s="84" t="s">
        <v>700</v>
      </c>
      <c r="G144" s="84" t="s">
        <v>467</v>
      </c>
    </row>
    <row r="145" spans="1:7" x14ac:dyDescent="0.25">
      <c r="A145">
        <v>80</v>
      </c>
      <c r="B145" t="s">
        <v>672</v>
      </c>
      <c r="C145" t="s">
        <v>538</v>
      </c>
      <c r="D145">
        <v>20</v>
      </c>
      <c r="E145" t="s">
        <v>467</v>
      </c>
      <c r="F145" t="s">
        <v>700</v>
      </c>
      <c r="G145" t="s">
        <v>467</v>
      </c>
    </row>
    <row r="146" spans="1:7" x14ac:dyDescent="0.25">
      <c r="A146" s="84">
        <v>81</v>
      </c>
      <c r="B146" s="84" t="s">
        <v>673</v>
      </c>
      <c r="C146" s="84" t="s">
        <v>535</v>
      </c>
      <c r="D146" s="84">
        <v>20</v>
      </c>
      <c r="E146" s="84" t="s">
        <v>467</v>
      </c>
      <c r="F146" s="84" t="s">
        <v>700</v>
      </c>
      <c r="G146" s="84" t="s">
        <v>467</v>
      </c>
    </row>
    <row r="147" spans="1:7" x14ac:dyDescent="0.25">
      <c r="A147">
        <v>82</v>
      </c>
      <c r="B147" t="s">
        <v>674</v>
      </c>
      <c r="C147" t="s">
        <v>539</v>
      </c>
      <c r="D147">
        <v>20</v>
      </c>
      <c r="E147" t="s">
        <v>467</v>
      </c>
      <c r="F147" t="s">
        <v>700</v>
      </c>
      <c r="G147" t="s">
        <v>467</v>
      </c>
    </row>
    <row r="148" spans="1:7" x14ac:dyDescent="0.25">
      <c r="A148" s="84">
        <v>83</v>
      </c>
      <c r="B148" s="84" t="s">
        <v>675</v>
      </c>
      <c r="C148" s="84" t="s">
        <v>544</v>
      </c>
      <c r="D148" s="84">
        <v>42</v>
      </c>
      <c r="E148" s="84" t="s">
        <v>469</v>
      </c>
      <c r="F148" s="84" t="s">
        <v>1</v>
      </c>
      <c r="G148" s="84" t="s">
        <v>469</v>
      </c>
    </row>
    <row r="149" spans="1:7" x14ac:dyDescent="0.25">
      <c r="A149">
        <v>83</v>
      </c>
      <c r="B149" t="s">
        <v>675</v>
      </c>
      <c r="C149" t="s">
        <v>544</v>
      </c>
      <c r="D149">
        <v>20</v>
      </c>
      <c r="E149" t="s">
        <v>467</v>
      </c>
      <c r="F149" t="s">
        <v>700</v>
      </c>
      <c r="G149" t="s">
        <v>469</v>
      </c>
    </row>
    <row r="150" spans="1:7" x14ac:dyDescent="0.25">
      <c r="A150" s="84">
        <v>83</v>
      </c>
      <c r="B150" s="84" t="s">
        <v>675</v>
      </c>
      <c r="C150" s="84" t="s">
        <v>544</v>
      </c>
      <c r="D150" s="84">
        <v>21</v>
      </c>
      <c r="E150" s="84" t="s">
        <v>545</v>
      </c>
      <c r="F150" s="84" t="s">
        <v>698</v>
      </c>
      <c r="G150" s="84" t="s">
        <v>469</v>
      </c>
    </row>
    <row r="151" spans="1:7" x14ac:dyDescent="0.25">
      <c r="A151">
        <v>84</v>
      </c>
      <c r="B151" t="s">
        <v>676</v>
      </c>
      <c r="C151" t="s">
        <v>535</v>
      </c>
      <c r="D151">
        <v>42</v>
      </c>
      <c r="E151" t="s">
        <v>469</v>
      </c>
      <c r="F151" t="s">
        <v>1</v>
      </c>
      <c r="G151" t="s">
        <v>469</v>
      </c>
    </row>
    <row r="152" spans="1:7" x14ac:dyDescent="0.25">
      <c r="A152" s="84">
        <v>85</v>
      </c>
      <c r="B152" s="84" t="s">
        <v>677</v>
      </c>
      <c r="C152" s="84" t="s">
        <v>546</v>
      </c>
      <c r="D152" s="84">
        <v>42</v>
      </c>
      <c r="E152" s="84" t="s">
        <v>469</v>
      </c>
      <c r="F152" s="84" t="s">
        <v>1</v>
      </c>
      <c r="G152" s="84" t="s">
        <v>469</v>
      </c>
    </row>
    <row r="153" spans="1:7" x14ac:dyDescent="0.25">
      <c r="A153">
        <v>86</v>
      </c>
      <c r="B153" t="s">
        <v>678</v>
      </c>
      <c r="C153" t="s">
        <v>547</v>
      </c>
      <c r="D153">
        <v>42</v>
      </c>
      <c r="E153" t="s">
        <v>469</v>
      </c>
      <c r="F153" t="s">
        <v>1</v>
      </c>
      <c r="G153" t="s">
        <v>469</v>
      </c>
    </row>
    <row r="154" spans="1:7" x14ac:dyDescent="0.25">
      <c r="A154" s="84">
        <v>87</v>
      </c>
      <c r="B154" s="84" t="s">
        <v>679</v>
      </c>
      <c r="C154" s="84" t="s">
        <v>548</v>
      </c>
      <c r="D154" s="84">
        <v>42</v>
      </c>
      <c r="E154" s="84" t="s">
        <v>469</v>
      </c>
      <c r="F154" s="84" t="s">
        <v>1</v>
      </c>
      <c r="G154" s="84" t="s">
        <v>469</v>
      </c>
    </row>
    <row r="155" spans="1:7" x14ac:dyDescent="0.25">
      <c r="A155">
        <v>88</v>
      </c>
      <c r="B155" t="s">
        <v>680</v>
      </c>
      <c r="C155" t="s">
        <v>549</v>
      </c>
      <c r="D155">
        <v>42</v>
      </c>
      <c r="E155" t="s">
        <v>469</v>
      </c>
      <c r="F155" t="s">
        <v>1</v>
      </c>
      <c r="G155" t="s">
        <v>469</v>
      </c>
    </row>
    <row r="156" spans="1:7" x14ac:dyDescent="0.25">
      <c r="A156" s="84">
        <v>89</v>
      </c>
      <c r="B156" s="84" t="s">
        <v>681</v>
      </c>
      <c r="C156" s="84" t="s">
        <v>550</v>
      </c>
      <c r="D156" s="84">
        <v>42</v>
      </c>
      <c r="E156" s="84" t="s">
        <v>469</v>
      </c>
      <c r="F156" s="84" t="s">
        <v>1</v>
      </c>
      <c r="G156" s="84" t="s">
        <v>469</v>
      </c>
    </row>
    <row r="157" spans="1:7" x14ac:dyDescent="0.25">
      <c r="A157">
        <v>90</v>
      </c>
      <c r="B157" t="s">
        <v>682</v>
      </c>
      <c r="C157" t="s">
        <v>551</v>
      </c>
      <c r="D157">
        <v>42</v>
      </c>
      <c r="E157" t="s">
        <v>469</v>
      </c>
      <c r="F157" t="s">
        <v>1</v>
      </c>
      <c r="G157" t="s">
        <v>469</v>
      </c>
    </row>
    <row r="158" spans="1:7" x14ac:dyDescent="0.25">
      <c r="A158" s="84">
        <v>91</v>
      </c>
      <c r="B158" s="84" t="s">
        <v>683</v>
      </c>
      <c r="C158" s="84" t="s">
        <v>552</v>
      </c>
      <c r="D158" s="84">
        <v>42</v>
      </c>
      <c r="E158" s="84" t="s">
        <v>469</v>
      </c>
      <c r="F158" s="84" t="s">
        <v>1</v>
      </c>
      <c r="G158" s="84" t="s">
        <v>469</v>
      </c>
    </row>
    <row r="159" spans="1:7" x14ac:dyDescent="0.25">
      <c r="A159">
        <v>92</v>
      </c>
      <c r="B159" t="s">
        <v>684</v>
      </c>
      <c r="C159" t="s">
        <v>553</v>
      </c>
      <c r="D159">
        <v>1</v>
      </c>
      <c r="E159" t="s">
        <v>554</v>
      </c>
      <c r="F159" t="s">
        <v>1</v>
      </c>
      <c r="G159" t="s">
        <v>469</v>
      </c>
    </row>
    <row r="160" spans="1:7" x14ac:dyDescent="0.25">
      <c r="A160" s="84">
        <v>92</v>
      </c>
      <c r="B160" s="84" t="s">
        <v>684</v>
      </c>
      <c r="C160" s="84" t="s">
        <v>553</v>
      </c>
      <c r="D160" s="84">
        <v>16</v>
      </c>
      <c r="E160" s="84" t="s">
        <v>555</v>
      </c>
      <c r="F160" s="84" t="s">
        <v>698</v>
      </c>
      <c r="G160" s="84" t="s">
        <v>469</v>
      </c>
    </row>
    <row r="161" spans="1:7" x14ac:dyDescent="0.25">
      <c r="A161">
        <v>92</v>
      </c>
      <c r="B161" t="s">
        <v>684</v>
      </c>
      <c r="C161" t="s">
        <v>553</v>
      </c>
      <c r="D161">
        <v>24</v>
      </c>
      <c r="E161" t="s">
        <v>556</v>
      </c>
      <c r="F161" t="s">
        <v>698</v>
      </c>
      <c r="G161" t="s">
        <v>469</v>
      </c>
    </row>
    <row r="162" spans="1:7" x14ac:dyDescent="0.25">
      <c r="A162" s="84">
        <v>92</v>
      </c>
      <c r="B162" s="84" t="s">
        <v>684</v>
      </c>
      <c r="C162" s="84" t="s">
        <v>553</v>
      </c>
      <c r="D162" s="84">
        <v>22</v>
      </c>
      <c r="E162" s="84" t="s">
        <v>557</v>
      </c>
      <c r="F162" s="84" t="s">
        <v>1</v>
      </c>
      <c r="G162" s="84" t="s">
        <v>469</v>
      </c>
    </row>
    <row r="163" spans="1:7" x14ac:dyDescent="0.25">
      <c r="A163">
        <v>92</v>
      </c>
      <c r="B163" t="s">
        <v>684</v>
      </c>
      <c r="C163" t="s">
        <v>553</v>
      </c>
      <c r="D163">
        <v>35</v>
      </c>
      <c r="E163" t="s">
        <v>558</v>
      </c>
      <c r="F163" t="s">
        <v>698</v>
      </c>
      <c r="G163" t="s">
        <v>469</v>
      </c>
    </row>
    <row r="164" spans="1:7" x14ac:dyDescent="0.25">
      <c r="A164" s="84">
        <v>92</v>
      </c>
      <c r="B164" s="84" t="s">
        <v>684</v>
      </c>
      <c r="C164" s="84" t="s">
        <v>553</v>
      </c>
      <c r="D164" s="84">
        <v>41</v>
      </c>
      <c r="E164" s="84" t="s">
        <v>559</v>
      </c>
      <c r="F164" s="84" t="s">
        <v>698</v>
      </c>
      <c r="G164" s="84" t="s">
        <v>469</v>
      </c>
    </row>
    <row r="165" spans="1:7" x14ac:dyDescent="0.25">
      <c r="A165">
        <v>93</v>
      </c>
      <c r="B165" t="s">
        <v>685</v>
      </c>
      <c r="C165" t="s">
        <v>535</v>
      </c>
      <c r="D165">
        <v>46</v>
      </c>
      <c r="E165" t="s">
        <v>470</v>
      </c>
      <c r="F165" t="s">
        <v>1</v>
      </c>
      <c r="G165" t="s">
        <v>470</v>
      </c>
    </row>
    <row r="166" spans="1:7" x14ac:dyDescent="0.25">
      <c r="A166" s="84">
        <v>94</v>
      </c>
      <c r="B166" s="84" t="s">
        <v>686</v>
      </c>
      <c r="C166" s="84" t="s">
        <v>537</v>
      </c>
      <c r="D166" s="84">
        <v>46</v>
      </c>
      <c r="E166" s="84" t="s">
        <v>470</v>
      </c>
      <c r="F166" s="84" t="s">
        <v>1</v>
      </c>
      <c r="G166" s="84" t="s">
        <v>470</v>
      </c>
    </row>
    <row r="167" spans="1:7" x14ac:dyDescent="0.25">
      <c r="A167">
        <v>94</v>
      </c>
      <c r="B167" t="s">
        <v>686</v>
      </c>
      <c r="C167" t="s">
        <v>537</v>
      </c>
      <c r="D167">
        <v>21</v>
      </c>
      <c r="E167" t="s">
        <v>545</v>
      </c>
      <c r="F167" t="s">
        <v>698</v>
      </c>
      <c r="G167" t="s">
        <v>470</v>
      </c>
    </row>
    <row r="168" spans="1:7" x14ac:dyDescent="0.25">
      <c r="A168" s="84">
        <v>95</v>
      </c>
      <c r="B168" s="84" t="s">
        <v>687</v>
      </c>
      <c r="C168" s="84" t="s">
        <v>538</v>
      </c>
      <c r="D168" s="84">
        <v>46</v>
      </c>
      <c r="E168" s="84" t="s">
        <v>470</v>
      </c>
      <c r="F168" s="84" t="s">
        <v>1</v>
      </c>
      <c r="G168" s="84" t="s">
        <v>470</v>
      </c>
    </row>
    <row r="169" spans="1:7" x14ac:dyDescent="0.25">
      <c r="A169">
        <v>95</v>
      </c>
      <c r="B169" t="s">
        <v>687</v>
      </c>
      <c r="C169" t="s">
        <v>538</v>
      </c>
      <c r="D169">
        <v>21</v>
      </c>
      <c r="E169" t="s">
        <v>545</v>
      </c>
      <c r="F169" t="s">
        <v>698</v>
      </c>
      <c r="G169" t="s">
        <v>470</v>
      </c>
    </row>
    <row r="170" spans="1:7" x14ac:dyDescent="0.25">
      <c r="A170" s="84">
        <v>96</v>
      </c>
      <c r="B170" s="84" t="s">
        <v>688</v>
      </c>
      <c r="C170" s="84" t="s">
        <v>539</v>
      </c>
      <c r="D170" s="84">
        <v>46</v>
      </c>
      <c r="E170" s="84" t="s">
        <v>470</v>
      </c>
      <c r="F170" s="84" t="s">
        <v>1</v>
      </c>
      <c r="G170" s="84" t="s">
        <v>470</v>
      </c>
    </row>
    <row r="171" spans="1:7" x14ac:dyDescent="0.25">
      <c r="A171">
        <v>97</v>
      </c>
      <c r="B171" t="s">
        <v>689</v>
      </c>
      <c r="C171" t="s">
        <v>537</v>
      </c>
      <c r="D171">
        <v>43</v>
      </c>
      <c r="E171" t="s">
        <v>462</v>
      </c>
      <c r="F171" t="s">
        <v>1</v>
      </c>
      <c r="G171" t="s">
        <v>462</v>
      </c>
    </row>
    <row r="172" spans="1:7" x14ac:dyDescent="0.25">
      <c r="A172" s="84">
        <v>97</v>
      </c>
      <c r="B172" s="84" t="s">
        <v>689</v>
      </c>
      <c r="C172" s="84" t="s">
        <v>537</v>
      </c>
      <c r="D172" s="84">
        <v>25</v>
      </c>
      <c r="E172" s="84" t="s">
        <v>448</v>
      </c>
      <c r="F172" s="84" t="s">
        <v>698</v>
      </c>
      <c r="G172" s="84" t="s">
        <v>462</v>
      </c>
    </row>
    <row r="173" spans="1:7" x14ac:dyDescent="0.25">
      <c r="A173">
        <v>98</v>
      </c>
      <c r="B173" t="s">
        <v>690</v>
      </c>
      <c r="C173" t="s">
        <v>538</v>
      </c>
      <c r="D173">
        <v>43</v>
      </c>
      <c r="E173" t="s">
        <v>462</v>
      </c>
      <c r="F173" t="s">
        <v>1</v>
      </c>
      <c r="G173" t="s">
        <v>462</v>
      </c>
    </row>
    <row r="174" spans="1:7" x14ac:dyDescent="0.25">
      <c r="A174" s="84">
        <v>98</v>
      </c>
      <c r="B174" s="84" t="s">
        <v>690</v>
      </c>
      <c r="C174" s="84" t="s">
        <v>538</v>
      </c>
      <c r="D174" s="84">
        <v>25</v>
      </c>
      <c r="E174" s="84" t="s">
        <v>448</v>
      </c>
      <c r="F174" s="84" t="s">
        <v>698</v>
      </c>
      <c r="G174" s="84" t="s">
        <v>462</v>
      </c>
    </row>
    <row r="175" spans="1:7" x14ac:dyDescent="0.25">
      <c r="A175">
        <v>99</v>
      </c>
      <c r="B175" t="s">
        <v>691</v>
      </c>
      <c r="C175" t="s">
        <v>560</v>
      </c>
      <c r="D175">
        <v>43</v>
      </c>
      <c r="E175" t="s">
        <v>462</v>
      </c>
      <c r="F175" t="s">
        <v>1</v>
      </c>
      <c r="G175" t="s">
        <v>462</v>
      </c>
    </row>
    <row r="176" spans="1:7" x14ac:dyDescent="0.25">
      <c r="A176" s="84">
        <v>99</v>
      </c>
      <c r="B176" s="84" t="s">
        <v>691</v>
      </c>
      <c r="C176" s="84" t="s">
        <v>560</v>
      </c>
      <c r="D176" s="84">
        <v>25</v>
      </c>
      <c r="E176" s="84" t="s">
        <v>448</v>
      </c>
      <c r="F176" s="84" t="s">
        <v>698</v>
      </c>
      <c r="G176" s="84" t="s">
        <v>462</v>
      </c>
    </row>
    <row r="177" spans="1:7" x14ac:dyDescent="0.25">
      <c r="A177">
        <v>99</v>
      </c>
      <c r="B177" t="s">
        <v>691</v>
      </c>
      <c r="C177" t="s">
        <v>560</v>
      </c>
      <c r="D177">
        <v>4</v>
      </c>
      <c r="E177" t="s">
        <v>561</v>
      </c>
      <c r="F177" t="s">
        <v>698</v>
      </c>
      <c r="G177" t="s">
        <v>462</v>
      </c>
    </row>
    <row r="178" spans="1:7" x14ac:dyDescent="0.25">
      <c r="A178" s="84">
        <v>99</v>
      </c>
      <c r="B178" s="84" t="s">
        <v>691</v>
      </c>
      <c r="C178" s="84" t="s">
        <v>560</v>
      </c>
      <c r="D178" s="84">
        <v>27</v>
      </c>
      <c r="E178" s="84" t="s">
        <v>562</v>
      </c>
      <c r="F178" s="84" t="s">
        <v>698</v>
      </c>
      <c r="G178" s="84" t="s">
        <v>462</v>
      </c>
    </row>
    <row r="179" spans="1:7" x14ac:dyDescent="0.25">
      <c r="A179">
        <v>99</v>
      </c>
      <c r="B179" t="s">
        <v>691</v>
      </c>
      <c r="C179" t="s">
        <v>560</v>
      </c>
      <c r="D179">
        <v>23</v>
      </c>
      <c r="E179" t="s">
        <v>563</v>
      </c>
      <c r="F179" t="s">
        <v>698</v>
      </c>
      <c r="G179" t="s">
        <v>462</v>
      </c>
    </row>
    <row r="180" spans="1:7" x14ac:dyDescent="0.25">
      <c r="A180" s="84">
        <v>100</v>
      </c>
      <c r="B180" s="84" t="s">
        <v>692</v>
      </c>
      <c r="C180" s="84" t="s">
        <v>564</v>
      </c>
      <c r="D180" s="84">
        <v>25</v>
      </c>
      <c r="E180" s="84" t="s">
        <v>448</v>
      </c>
      <c r="F180" s="84" t="s">
        <v>698</v>
      </c>
      <c r="G180" s="84" t="s">
        <v>462</v>
      </c>
    </row>
    <row r="181" spans="1:7" x14ac:dyDescent="0.25">
      <c r="A181">
        <v>100</v>
      </c>
      <c r="B181" t="s">
        <v>692</v>
      </c>
      <c r="C181" t="s">
        <v>564</v>
      </c>
      <c r="D181">
        <v>43</v>
      </c>
      <c r="E181" t="s">
        <v>462</v>
      </c>
      <c r="F181" t="s">
        <v>1</v>
      </c>
      <c r="G181" t="s">
        <v>462</v>
      </c>
    </row>
    <row r="182" spans="1:7" x14ac:dyDescent="0.25">
      <c r="A182" s="84">
        <v>100</v>
      </c>
      <c r="B182" s="84" t="s">
        <v>692</v>
      </c>
      <c r="C182" s="84" t="s">
        <v>564</v>
      </c>
      <c r="D182" s="84">
        <v>40</v>
      </c>
      <c r="E182" s="84" t="s">
        <v>565</v>
      </c>
      <c r="F182" s="84" t="s">
        <v>698</v>
      </c>
      <c r="G182" s="84" t="s">
        <v>462</v>
      </c>
    </row>
    <row r="183" spans="1:7" x14ac:dyDescent="0.25">
      <c r="A183">
        <v>100</v>
      </c>
      <c r="B183" t="s">
        <v>692</v>
      </c>
      <c r="C183" t="s">
        <v>564</v>
      </c>
      <c r="D183">
        <v>8</v>
      </c>
      <c r="E183" t="s">
        <v>566</v>
      </c>
      <c r="F183" t="s">
        <v>698</v>
      </c>
      <c r="G183" t="s">
        <v>462</v>
      </c>
    </row>
    <row r="184" spans="1:7" x14ac:dyDescent="0.25">
      <c r="A184" s="84">
        <v>100</v>
      </c>
      <c r="B184" s="84" t="s">
        <v>692</v>
      </c>
      <c r="C184" s="84" t="s">
        <v>564</v>
      </c>
      <c r="D184" s="84">
        <v>4</v>
      </c>
      <c r="E184" s="84" t="s">
        <v>561</v>
      </c>
      <c r="F184" s="84" t="s">
        <v>698</v>
      </c>
      <c r="G184" s="84" t="s">
        <v>462</v>
      </c>
    </row>
    <row r="185" spans="1:7" x14ac:dyDescent="0.25">
      <c r="A185">
        <v>100</v>
      </c>
      <c r="B185" t="s">
        <v>692</v>
      </c>
      <c r="C185" t="s">
        <v>564</v>
      </c>
      <c r="D185">
        <v>27</v>
      </c>
      <c r="E185" t="s">
        <v>562</v>
      </c>
      <c r="F185" t="s">
        <v>698</v>
      </c>
      <c r="G185" t="s">
        <v>462</v>
      </c>
    </row>
    <row r="186" spans="1:7" x14ac:dyDescent="0.25">
      <c r="A186" s="84">
        <v>100</v>
      </c>
      <c r="B186" s="84" t="s">
        <v>692</v>
      </c>
      <c r="C186" s="84" t="s">
        <v>564</v>
      </c>
      <c r="D186" s="84">
        <v>23</v>
      </c>
      <c r="E186" s="84" t="s">
        <v>563</v>
      </c>
      <c r="F186" s="84" t="s">
        <v>698</v>
      </c>
      <c r="G186" s="84" t="s">
        <v>462</v>
      </c>
    </row>
    <row r="187" spans="1:7" x14ac:dyDescent="0.25">
      <c r="A187">
        <v>100</v>
      </c>
      <c r="B187" t="s">
        <v>692</v>
      </c>
      <c r="C187" t="s">
        <v>564</v>
      </c>
      <c r="D187">
        <v>7</v>
      </c>
      <c r="E187" t="s">
        <v>567</v>
      </c>
      <c r="F187" t="s">
        <v>1</v>
      </c>
      <c r="G187" t="s">
        <v>462</v>
      </c>
    </row>
    <row r="188" spans="1:7" x14ac:dyDescent="0.25">
      <c r="A188" s="84">
        <v>101</v>
      </c>
      <c r="B188" s="84" t="s">
        <v>693</v>
      </c>
      <c r="C188" s="84" t="s">
        <v>568</v>
      </c>
      <c r="D188" s="84">
        <v>45</v>
      </c>
      <c r="E188" s="84" t="s">
        <v>505</v>
      </c>
      <c r="F188" s="84" t="s">
        <v>1</v>
      </c>
      <c r="G188" s="84" t="s">
        <v>462</v>
      </c>
    </row>
    <row r="189" spans="1:7" x14ac:dyDescent="0.25">
      <c r="A189">
        <v>101</v>
      </c>
      <c r="B189" t="s">
        <v>693</v>
      </c>
      <c r="C189" t="s">
        <v>568</v>
      </c>
      <c r="D189">
        <v>11</v>
      </c>
      <c r="E189" t="s">
        <v>477</v>
      </c>
      <c r="F189" t="s">
        <v>698</v>
      </c>
      <c r="G189" t="s">
        <v>462</v>
      </c>
    </row>
    <row r="190" spans="1:7" x14ac:dyDescent="0.25">
      <c r="A190" s="84">
        <v>101</v>
      </c>
      <c r="B190" s="84" t="s">
        <v>693</v>
      </c>
      <c r="C190" s="84" t="s">
        <v>568</v>
      </c>
      <c r="D190" s="84">
        <v>32</v>
      </c>
      <c r="E190" s="84" t="s">
        <v>478</v>
      </c>
      <c r="F190" s="84" t="s">
        <v>698</v>
      </c>
      <c r="G190" s="84" t="s">
        <v>462</v>
      </c>
    </row>
    <row r="191" spans="1:7" x14ac:dyDescent="0.25">
      <c r="A191">
        <v>101</v>
      </c>
      <c r="B191" t="s">
        <v>693</v>
      </c>
      <c r="C191" t="s">
        <v>568</v>
      </c>
      <c r="D191">
        <v>34</v>
      </c>
      <c r="E191" t="s">
        <v>479</v>
      </c>
      <c r="F191" t="s">
        <v>698</v>
      </c>
      <c r="G191" t="s">
        <v>462</v>
      </c>
    </row>
    <row r="192" spans="1:7" x14ac:dyDescent="0.25">
      <c r="A192" s="84">
        <v>101</v>
      </c>
      <c r="B192" s="84" t="s">
        <v>693</v>
      </c>
      <c r="C192" s="84" t="s">
        <v>568</v>
      </c>
      <c r="D192" s="84">
        <v>44</v>
      </c>
      <c r="E192" s="84" t="s">
        <v>480</v>
      </c>
      <c r="F192" s="84" t="s">
        <v>698</v>
      </c>
      <c r="G192" s="84" t="s">
        <v>462</v>
      </c>
    </row>
  </sheetData>
  <autoFilter ref="A1:G192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20</vt:i4>
      </vt:variant>
    </vt:vector>
  </HeadingPairs>
  <TitlesOfParts>
    <vt:vector size="20" baseType="lpstr">
      <vt:lpstr>Carga Procesal</vt:lpstr>
      <vt:lpstr>Poblacion_Data</vt:lpstr>
      <vt:lpstr>Poblacion_Pivot</vt:lpstr>
      <vt:lpstr>Resumen_Provincia</vt:lpstr>
      <vt:lpstr>Provincias</vt:lpstr>
      <vt:lpstr>Detalle_Provincia</vt:lpstr>
      <vt:lpstr>Resumen_Tipo</vt:lpstr>
      <vt:lpstr>Data_Plana</vt:lpstr>
      <vt:lpstr>Resumen</vt:lpstr>
      <vt:lpstr>Audiencias_Data</vt:lpstr>
      <vt:lpstr>Audiencias_Pivot</vt:lpstr>
      <vt:lpstr>Alerta_Sobrecarga</vt:lpstr>
      <vt:lpstr>Pob_Proyeccion</vt:lpstr>
      <vt:lpstr>Jueces_Pob_2026</vt:lpstr>
      <vt:lpstr>Personal_Regimen</vt:lpstr>
      <vt:lpstr>Personal_Cargos</vt:lpstr>
      <vt:lpstr>Data_Limpia</vt:lpstr>
      <vt:lpstr>DimDependencia</vt:lpstr>
      <vt:lpstr>DimTerritorio</vt:lpstr>
      <vt:lpstr>Puente_Competencia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Area de Innovación CSJ de Junín</cp:lastModifiedBy>
  <dcterms:created xsi:type="dcterms:W3CDTF">2026-05-05T02:51:48Z</dcterms:created>
  <dcterms:modified xsi:type="dcterms:W3CDTF">2026-07-16T14:20:29Z</dcterms:modified>
</cp:coreProperties>
</file>